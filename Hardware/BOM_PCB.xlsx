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.shortcut-targets-by-id\1EUUZLPIgCv9ysgeRC4XDaqFqUJH7aywP\2025-msc-sem-proj-joswerner\hardware\design\"/>
    </mc:Choice>
  </mc:AlternateContent>
  <xr:revisionPtr revIDLastSave="0" documentId="13_ncr:1_{B4F50476-364C-422A-88AB-CCFDED56FB9D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BOM Handheld" sheetId="3" r:id="rId1"/>
    <sheet name="BOM Developement board" sheetId="1" r:id="rId2"/>
    <sheet name="BOM Jewiss" sheetId="2" r:id="rId3"/>
    <sheet name="BOM loki origi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3" l="1"/>
  <c r="P15" i="3"/>
  <c r="P3" i="3"/>
  <c r="P4" i="3"/>
  <c r="P5" i="3"/>
  <c r="P6" i="3"/>
  <c r="P7" i="3"/>
  <c r="P8" i="3"/>
  <c r="P9" i="3"/>
  <c r="P10" i="3"/>
  <c r="P11" i="3"/>
  <c r="P12" i="3"/>
  <c r="P13" i="3"/>
  <c r="P14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2" i="3"/>
  <c r="O2" i="3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36" i="3"/>
  <c r="N35" i="3"/>
  <c r="N31" i="3"/>
  <c r="N21" i="3"/>
  <c r="N22" i="3"/>
  <c r="N23" i="3"/>
  <c r="N25" i="3"/>
  <c r="N26" i="3"/>
  <c r="N27" i="3"/>
  <c r="N28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2" i="2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9" i="3"/>
  <c r="N30" i="3"/>
  <c r="N32" i="3"/>
  <c r="N33" i="3"/>
  <c r="N34" i="3"/>
  <c r="N38" i="3"/>
  <c r="N39" i="3"/>
  <c r="N40" i="3"/>
  <c r="N41" i="3"/>
  <c r="N42" i="3"/>
  <c r="N2" i="3"/>
  <c r="N3" i="3"/>
</calcChain>
</file>

<file path=xl/sharedStrings.xml><?xml version="1.0" encoding="utf-8"?>
<sst xmlns="http://schemas.openxmlformats.org/spreadsheetml/2006/main" count="1102" uniqueCount="557">
  <si>
    <t>Part Number</t>
  </si>
  <si>
    <t>Part Name / Description</t>
  </si>
  <si>
    <t>Manufacturer</t>
  </si>
  <si>
    <t>Manufacturer Part Number (MPN)</t>
  </si>
  <si>
    <t>Vendor / Supplier</t>
  </si>
  <si>
    <t>Vendor P/N</t>
  </si>
  <si>
    <t>Quantity per Assembly</t>
  </si>
  <si>
    <t>Procurement Type</t>
  </si>
  <si>
    <t>Material / Specification</t>
  </si>
  <si>
    <t>Unit Cost (USD)</t>
  </si>
  <si>
    <t>Total Cost (USD)</t>
  </si>
  <si>
    <t>Main Assembly</t>
  </si>
  <si>
    <t>PROD-1000</t>
  </si>
  <si>
    <t>Smart Sensor Device</t>
  </si>
  <si>
    <t>EA</t>
  </si>
  <si>
    <t>A</t>
  </si>
  <si>
    <t>Top-level assembly</t>
  </si>
  <si>
    <t>PCB Assembly</t>
  </si>
  <si>
    <t>PCB-001</t>
  </si>
  <si>
    <t>Main Control Board</t>
  </si>
  <si>
    <t>Buy</t>
  </si>
  <si>
    <t>FR4</t>
  </si>
  <si>
    <t>15.00</t>
  </si>
  <si>
    <t>21</t>
  </si>
  <si>
    <t>Electronic Component</t>
  </si>
  <si>
    <t>IC-ATMEGA328</t>
  </si>
  <si>
    <t>Microcontroller</t>
  </si>
  <si>
    <t>Microchip</t>
  </si>
  <si>
    <t>ATMEGA328P-AU</t>
  </si>
  <si>
    <t>Digi-Key</t>
  </si>
  <si>
    <t>556-ATMEGA328PAU-ND</t>
  </si>
  <si>
    <t>U1</t>
  </si>
  <si>
    <t>C</t>
  </si>
  <si>
    <t>2.50</t>
  </si>
  <si>
    <t>14</t>
  </si>
  <si>
    <t>Critical component</t>
  </si>
  <si>
    <t>RES-10K</t>
  </si>
  <si>
    <t>Resistor 10KΩ 1%</t>
  </si>
  <si>
    <t>Yageo</t>
  </si>
  <si>
    <t>RC0603FR-0710KL</t>
  </si>
  <si>
    <t>Mouser</t>
  </si>
  <si>
    <t>603-RC0603FR0710KL</t>
  </si>
  <si>
    <t>0.01</t>
  </si>
  <si>
    <t>0.10</t>
  </si>
  <si>
    <t>7</t>
  </si>
  <si>
    <t>Common resistor</t>
  </si>
  <si>
    <t>Mechanical</t>
  </si>
  <si>
    <t>ENC-PLSTC</t>
  </si>
  <si>
    <t>Plastic Enclosure</t>
  </si>
  <si>
    <t>ABC Plastics</t>
  </si>
  <si>
    <t>ENC-1001</t>
  </si>
  <si>
    <t>Local Supplier</t>
  </si>
  <si>
    <t>ABS</t>
  </si>
  <si>
    <t>5.00</t>
  </si>
  <si>
    <t>10</t>
  </si>
  <si>
    <t>Injection molded</t>
  </si>
  <si>
    <t>Fasteners</t>
  </si>
  <si>
    <t>SCR-M3</t>
  </si>
  <si>
    <t>Screw M3x6</t>
  </si>
  <si>
    <t>BoltCo</t>
  </si>
  <si>
    <t>SC-M3X6</t>
  </si>
  <si>
    <t>Bolt Depot</t>
  </si>
  <si>
    <t>12345</t>
  </si>
  <si>
    <t>Steel</t>
  </si>
  <si>
    <t>0.05</t>
  </si>
  <si>
    <t>0.20</t>
  </si>
  <si>
    <t>3</t>
  </si>
  <si>
    <t>example:</t>
  </si>
  <si>
    <t>Footprint</t>
  </si>
  <si>
    <t>C_0805_2012Metric_Pad1.18x1.45mm_HandSolder</t>
  </si>
  <si>
    <t xml:space="preserve">0.1u </t>
  </si>
  <si>
    <t>51p</t>
  </si>
  <si>
    <t>100p</t>
  </si>
  <si>
    <t>22u</t>
  </si>
  <si>
    <t>47n</t>
  </si>
  <si>
    <t>330p</t>
  </si>
  <si>
    <t>10u</t>
  </si>
  <si>
    <t>Resistor 47</t>
  </si>
  <si>
    <t>R_0805_2012Metric_Pad1.20x1.40mm_HandSolder</t>
  </si>
  <si>
    <t>Resistor 100</t>
  </si>
  <si>
    <t>Resistor 240k</t>
  </si>
  <si>
    <t>240k</t>
  </si>
  <si>
    <t>Resistor 300</t>
  </si>
  <si>
    <t>Resistor 51</t>
  </si>
  <si>
    <t>Resistor 10k</t>
  </si>
  <si>
    <t>Resistor 1k</t>
  </si>
  <si>
    <t>1k</t>
  </si>
  <si>
    <t>10k</t>
  </si>
  <si>
    <t>LED_0805_2012Metric_Pad1.15x1.40mm_HandSolder</t>
  </si>
  <si>
    <t>Sensor for Photodiodes</t>
  </si>
  <si>
    <t>Advanced Photonix</t>
  </si>
  <si>
    <t>800nm-1700nm, 0.95 A/W @ 1300nm, 1.0 A/W @ 1500nm</t>
  </si>
  <si>
    <t>0090-3111-185</t>
  </si>
  <si>
    <t>Digikey</t>
  </si>
  <si>
    <t>209-0090-3111-185DKR-ND</t>
  </si>
  <si>
    <t>D_1206_3216Metric_Pad1.42x1.75mm_HandSolder</t>
  </si>
  <si>
    <t>red</t>
  </si>
  <si>
    <t>blue</t>
  </si>
  <si>
    <t>LED_1206_3216Metric_Pad1.42x1.75mm_HandSolder</t>
  </si>
  <si>
    <t>940nm</t>
  </si>
  <si>
    <t>1050nm</t>
  </si>
  <si>
    <t>1200nm</t>
  </si>
  <si>
    <t>1300nm</t>
  </si>
  <si>
    <t>1460nm</t>
  </si>
  <si>
    <t>1550nm</t>
  </si>
  <si>
    <t>1650nm</t>
  </si>
  <si>
    <t>1720nm</t>
  </si>
  <si>
    <t>OPA2376AID</t>
  </si>
  <si>
    <t>SOIC127P599X175-8N</t>
  </si>
  <si>
    <t>Texas Instruments</t>
  </si>
  <si>
    <t>low-noise operational amplifiers</t>
  </si>
  <si>
    <t>296-26263-5-ND</t>
  </si>
  <si>
    <t>Amplifier AC-DC</t>
  </si>
  <si>
    <t>NAU7802SGI</t>
  </si>
  <si>
    <t>Nuvoton-NAU7802SGI-0-0-0</t>
  </si>
  <si>
    <t>NAU7802SGI-ND</t>
  </si>
  <si>
    <t>Nuvoto Technology Corporation</t>
  </si>
  <si>
    <t>24bit analog digital converter</t>
  </si>
  <si>
    <t>AMS1117-3.3</t>
  </si>
  <si>
    <t>SOT-223-3_TabPin2</t>
  </si>
  <si>
    <t>4518-AMS1117-3.3DKR-ND</t>
  </si>
  <si>
    <t>UMW</t>
  </si>
  <si>
    <t>TLC59208FIPWR</t>
  </si>
  <si>
    <t>LED driver IC linear PWM</t>
  </si>
  <si>
    <t>50mA</t>
  </si>
  <si>
    <t>296-36508-6-ND</t>
  </si>
  <si>
    <t>Texas_Instruments-TLC59208FIPWR-Level_A</t>
  </si>
  <si>
    <t>SW_PUSH_6mm</t>
  </si>
  <si>
    <t>Arduino_UNO_R3</t>
  </si>
  <si>
    <t>FerriteBead</t>
  </si>
  <si>
    <t>﻿ID</t>
  </si>
  <si>
    <t>Name</t>
  </si>
  <si>
    <t>Designator</t>
  </si>
  <si>
    <t>Quantity</t>
  </si>
  <si>
    <t>Manufacturer Part</t>
  </si>
  <si>
    <t>Supplier</t>
  </si>
  <si>
    <t>Supplier Part</t>
  </si>
  <si>
    <t>Price</t>
  </si>
  <si>
    <t>LP5951MFX-1.5/NOPB</t>
  </si>
  <si>
    <t>U5</t>
  </si>
  <si>
    <t>SOT-23-5_L2.9-W1.6-P0.95-LS2.8-BR</t>
  </si>
  <si>
    <t>TI(德州仪器)</t>
  </si>
  <si>
    <t>LCSC</t>
  </si>
  <si>
    <t>C2877802</t>
  </si>
  <si>
    <t>0.1u</t>
  </si>
  <si>
    <t>C12,C3,C9,C11</t>
  </si>
  <si>
    <t>L0603</t>
  </si>
  <si>
    <t>CL05A105KA5NQNC</t>
  </si>
  <si>
    <t>SAMSUNG</t>
  </si>
  <si>
    <t>C52923</t>
  </si>
  <si>
    <t>C1,C2</t>
  </si>
  <si>
    <t>C4</t>
  </si>
  <si>
    <t>C5,C8</t>
  </si>
  <si>
    <t>C6,C7</t>
  </si>
  <si>
    <t>C10</t>
  </si>
  <si>
    <t>240K</t>
  </si>
  <si>
    <t>R1,R2,J1,J2,J3</t>
  </si>
  <si>
    <t>RCT0212KJLF</t>
  </si>
  <si>
    <t>HKR</t>
  </si>
  <si>
    <t>C174266</t>
  </si>
  <si>
    <t>R3,R4</t>
  </si>
  <si>
    <t>R5,R6</t>
  </si>
  <si>
    <t>SD0050-3111-011</t>
  </si>
  <si>
    <t>D1</t>
  </si>
  <si>
    <t>TO-46-2_BD5.5-P1.27-L</t>
  </si>
  <si>
    <t>1N4007W</t>
  </si>
  <si>
    <t>BLUE ROCKET</t>
  </si>
  <si>
    <t>C328592</t>
  </si>
  <si>
    <t>HDR-M-2.54_1x8</t>
  </si>
  <si>
    <t>J4</t>
  </si>
  <si>
    <t>HDR-M-2.54_1X8</t>
  </si>
  <si>
    <t>C190820</t>
  </si>
  <si>
    <t>970nm</t>
  </si>
  <si>
    <t>LED1</t>
  </si>
  <si>
    <t>LED1206-RD</t>
  </si>
  <si>
    <t>19-217/R6C-AL1M2VY/3T</t>
  </si>
  <si>
    <t>EVERLIGHT(台湾亿光)</t>
  </si>
  <si>
    <t>C72044</t>
  </si>
  <si>
    <t>LED2</t>
  </si>
  <si>
    <t>LED3</t>
  </si>
  <si>
    <t>LED4</t>
  </si>
  <si>
    <t>1450nm</t>
  </si>
  <si>
    <t>LED5</t>
  </si>
  <si>
    <t>1500nm</t>
  </si>
  <si>
    <t>LED6</t>
  </si>
  <si>
    <t>LED7</t>
  </si>
  <si>
    <t>LED8</t>
  </si>
  <si>
    <t>LED-0603_R</t>
  </si>
  <si>
    <t>LED9</t>
  </si>
  <si>
    <t>LED0603_RED</t>
  </si>
  <si>
    <t>R7</t>
  </si>
  <si>
    <t>R0603</t>
  </si>
  <si>
    <t>4.7k</t>
  </si>
  <si>
    <t>R8,R9</t>
  </si>
  <si>
    <t>R10</t>
  </si>
  <si>
    <t>U2</t>
  </si>
  <si>
    <t>SOP-16_L9.9-W3.9-P1.27-LS6.0-BL</t>
  </si>
  <si>
    <t>NUVOTON(新唐)</t>
  </si>
  <si>
    <t>C2614351</t>
  </si>
  <si>
    <t>TLC59108IPWR</t>
  </si>
  <si>
    <t>U3</t>
  </si>
  <si>
    <t>TSSOP-20_L6.5-W4.4-P0.65-LS6.4-BL</t>
  </si>
  <si>
    <t>C130031</t>
  </si>
  <si>
    <t>OPA2376AIDGKR</t>
  </si>
  <si>
    <t>VSSOP-8_L3.0-W3.0-P0.65-LS4.9-BL</t>
  </si>
  <si>
    <t>C54292</t>
  </si>
  <si>
    <t>C1, C7, C10, C11, C14, C16</t>
  </si>
  <si>
    <t>C2, C3</t>
  </si>
  <si>
    <t>C5, C8</t>
  </si>
  <si>
    <t>C6, C15</t>
  </si>
  <si>
    <t>C9</t>
  </si>
  <si>
    <t>C13</t>
  </si>
  <si>
    <t>R15, R16, R17, R18, R19, R20, R21, R22</t>
  </si>
  <si>
    <t>R7, R8, R11</t>
  </si>
  <si>
    <t>R1, R2</t>
  </si>
  <si>
    <t>R5, R6</t>
  </si>
  <si>
    <t>R9, R10</t>
  </si>
  <si>
    <t>R14</t>
  </si>
  <si>
    <t>D3, D12</t>
  </si>
  <si>
    <t>D2</t>
  </si>
  <si>
    <t>D4</t>
  </si>
  <si>
    <t>D5</t>
  </si>
  <si>
    <t>D6</t>
  </si>
  <si>
    <t>D7</t>
  </si>
  <si>
    <t>D8</t>
  </si>
  <si>
    <t>D9</t>
  </si>
  <si>
    <t>D10</t>
  </si>
  <si>
    <t>D11</t>
  </si>
  <si>
    <t>U4</t>
  </si>
  <si>
    <t>SW1</t>
  </si>
  <si>
    <t>SW2</t>
  </si>
  <si>
    <t>A1</t>
  </si>
  <si>
    <t>FB1</t>
  </si>
  <si>
    <t>J1, J4, J5</t>
  </si>
  <si>
    <t>J2</t>
  </si>
  <si>
    <t>J3</t>
  </si>
  <si>
    <t>PMIC Voltageregulator 3.3V</t>
  </si>
  <si>
    <t xml:space="preserve">Qwiic, Connector </t>
  </si>
  <si>
    <t>JST Sales America Inc.</t>
  </si>
  <si>
    <t>SM04B-SRSS-TB</t>
  </si>
  <si>
    <t>455-SM04B-SRSS-TBDKR-ND</t>
  </si>
  <si>
    <t>JST_SH_SM04B-SRSS-TB_1x04-1MP_P1.00mm_Horizontal</t>
  </si>
  <si>
    <t>C&amp;K</t>
  </si>
  <si>
    <t>MCU Reset, push button</t>
  </si>
  <si>
    <t>Trigger, push button</t>
  </si>
  <si>
    <t>D6R90 F2 LFS</t>
  </si>
  <si>
    <t>401-1995-ND</t>
  </si>
  <si>
    <t>Arduino Uno R3</t>
  </si>
  <si>
    <t>Adam Tech</t>
  </si>
  <si>
    <t>SMC-1-04-1-GT</t>
  </si>
  <si>
    <t>2057-SMC-1-04-1-GT-ND</t>
  </si>
  <si>
    <t>Samtec Inc.</t>
  </si>
  <si>
    <t>TS-108-T-A-1</t>
  </si>
  <si>
    <t>TS-108-T-A-1-ND</t>
  </si>
  <si>
    <t>lab</t>
  </si>
  <si>
    <t>board</t>
  </si>
  <si>
    <t xml:space="preserve">Development board </t>
  </si>
  <si>
    <t>-</t>
  </si>
  <si>
    <t>Lab stock</t>
  </si>
  <si>
    <t>28-LSM0805463VDKR-ND</t>
  </si>
  <si>
    <t>LSM0805463V</t>
  </si>
  <si>
    <t>Visual Communications Company - VCC</t>
  </si>
  <si>
    <t>LSM0805412V</t>
  </si>
  <si>
    <t>LED Red 0805 2012 metric</t>
  </si>
  <si>
    <t>28-LSM0805412VDKR-ND</t>
  </si>
  <si>
    <t>Marktech Optoelectronics</t>
  </si>
  <si>
    <t>MTSM5010-843-IR</t>
  </si>
  <si>
    <t>1125-1359-ND</t>
  </si>
  <si>
    <t>1125-MTSM0013-844-IRDKR-ND</t>
  </si>
  <si>
    <t>MTSM0013-844-IR</t>
  </si>
  <si>
    <t>IR 850nm</t>
  </si>
  <si>
    <t>IR 940nm DOM</t>
  </si>
  <si>
    <t>IR 1050nm DOM</t>
  </si>
  <si>
    <t>IR 1200nm DOM</t>
  </si>
  <si>
    <t>IR 1300nm DOM</t>
  </si>
  <si>
    <t>IR 1460nm DOM</t>
  </si>
  <si>
    <t>MTSM0012-844-IR</t>
  </si>
  <si>
    <t>1125-MTSM0012-844-IRDKR-ND</t>
  </si>
  <si>
    <t>1125-MTSM6014-844-IRDKR-ND</t>
  </si>
  <si>
    <t>1125-MTSM5015-844-IRDKR-ND</t>
  </si>
  <si>
    <t>1125-1362-ND</t>
  </si>
  <si>
    <t>MTSM5016-843-IR or MTSM5016-199-IR</t>
  </si>
  <si>
    <t xml:space="preserve">MTSM6014-844-IR </t>
  </si>
  <si>
    <t>MTSM5015-844-IR or  MTSM5015-194-IR</t>
  </si>
  <si>
    <t>Notes</t>
  </si>
  <si>
    <t>LED Blue 0805 2012 metric</t>
  </si>
  <si>
    <t>DOM not available</t>
  </si>
  <si>
    <t xml:space="preserve">IR 1550nm </t>
  </si>
  <si>
    <t xml:space="preserve">IR 1650nm </t>
  </si>
  <si>
    <t>XZTNI55W-3</t>
  </si>
  <si>
    <t>1497-1368-6-ND</t>
  </si>
  <si>
    <t>SunLED</t>
  </si>
  <si>
    <t>P2.54mm vertical Socket</t>
  </si>
  <si>
    <t>P2.54mm vertical Header</t>
  </si>
  <si>
    <t>Conn_01x04</t>
  </si>
  <si>
    <t>Conn_01x08</t>
  </si>
  <si>
    <t>732-12009-6-ND</t>
  </si>
  <si>
    <t>15412085A3060</t>
  </si>
  <si>
    <t>Würth Elektronik</t>
  </si>
  <si>
    <t>scanner board loki</t>
  </si>
  <si>
    <t>C2, C3, C12, C21</t>
  </si>
  <si>
    <t>C14, C15, C19</t>
  </si>
  <si>
    <t>C4, C22</t>
  </si>
  <si>
    <t>C17</t>
  </si>
  <si>
    <t>C5, C23</t>
  </si>
  <si>
    <t>C_0603_1608Metric_Pad1.08x0.95mm_HandSolder</t>
  </si>
  <si>
    <t>R7, R8, R11, R12, R19</t>
  </si>
  <si>
    <t>R1, R2, R9, R10</t>
  </si>
  <si>
    <t>R25</t>
  </si>
  <si>
    <t>R27, R28</t>
  </si>
  <si>
    <t>R32</t>
  </si>
  <si>
    <t>R31</t>
  </si>
  <si>
    <t>R_0603_1608Metric_Pad0.98x0.95mm_HandSolder</t>
  </si>
  <si>
    <t>R3, R4, R13, R14</t>
  </si>
  <si>
    <t>R16, R26, R29, R30</t>
  </si>
  <si>
    <t>D3</t>
  </si>
  <si>
    <t>EAHC2835WD6</t>
  </si>
  <si>
    <t>Everlight-EAHC2835WD6-MFG</t>
  </si>
  <si>
    <t>U1, U4</t>
  </si>
  <si>
    <t>Nuvoton-NAU7802SGI</t>
  </si>
  <si>
    <t>SOP65P640X120-16N</t>
  </si>
  <si>
    <t>U6</t>
  </si>
  <si>
    <t>AS7341-DLGT</t>
  </si>
  <si>
    <t>PSON80P310X200X110-8N</t>
  </si>
  <si>
    <t>U7</t>
  </si>
  <si>
    <t>AP7312-1833W6-7</t>
  </si>
  <si>
    <t>X1</t>
  </si>
  <si>
    <t>4.9152 MHz</t>
  </si>
  <si>
    <t>Oscillator_SMD_ECS_2520MV-xxx-xx-4Pin_2.5x2.0mm</t>
  </si>
  <si>
    <t>Q1</t>
  </si>
  <si>
    <t>BSS138DW-7-F</t>
  </si>
  <si>
    <t>Diodes_Inc._-_BSS138DW-7-F-A</t>
  </si>
  <si>
    <t>J1</t>
  </si>
  <si>
    <t>PinSocket_1x04_P2.54mm_Vertical</t>
  </si>
  <si>
    <t>sourced</t>
  </si>
  <si>
    <t>placed</t>
  </si>
  <si>
    <t>Notes/Name</t>
  </si>
  <si>
    <t>Stock</t>
  </si>
  <si>
    <t>Available</t>
  </si>
  <si>
    <t>855nm</t>
  </si>
  <si>
    <t>board jewiss</t>
  </si>
  <si>
    <t>ECS-2520MVLC-049-BN-TR</t>
  </si>
  <si>
    <t>50-ECS-2520MVLC-049-BN-DKR-ND</t>
  </si>
  <si>
    <t>ECS Inc.</t>
  </si>
  <si>
    <t>BSS138DW-FDIDKR-ND</t>
  </si>
  <si>
    <t>Diodes Incorporated</t>
  </si>
  <si>
    <t>KEMET</t>
  </si>
  <si>
    <t>399-C0603C104K3RACTUDKR-ND</t>
  </si>
  <si>
    <t>C0603C104K3RACTU</t>
  </si>
  <si>
    <t>C0603X510K3HACTU</t>
  </si>
  <si>
    <t>399-C0603X510K3HACTUDKR-ND</t>
  </si>
  <si>
    <t>Murata Electronics</t>
  </si>
  <si>
    <t>490-GRM188Z71A106KA73DDKR-ND</t>
  </si>
  <si>
    <t>GRM188Z71A106KA73D</t>
  </si>
  <si>
    <t>399-C0603X473J4RECAUTODKR-ND</t>
  </si>
  <si>
    <t>C0603X473J4RECAUTO</t>
  </si>
  <si>
    <t>399-C0603C101M3RACAUTODKR-ND</t>
  </si>
  <si>
    <t>C0603C101M3RACAUTO</t>
  </si>
  <si>
    <t>587-2984-6-ND</t>
  </si>
  <si>
    <t>Taiyo Yuden</t>
  </si>
  <si>
    <t>TMK107B7105KA-T</t>
  </si>
  <si>
    <t>490-GRM188C61E226ME01WDKR-ND</t>
  </si>
  <si>
    <t>GRM188C61E226ME01W</t>
  </si>
  <si>
    <t>Vishay</t>
  </si>
  <si>
    <t>MCT0603-10.0K-CFDKR-ND</t>
  </si>
  <si>
    <t>MCT06030C1002FP500</t>
  </si>
  <si>
    <t>YAGEO</t>
  </si>
  <si>
    <t>13-RT0603FRE07240KLDKR-ND</t>
  </si>
  <si>
    <t>RT0603FRE07240KL</t>
  </si>
  <si>
    <t>13-RT0603FRE07301RLDKR-ND</t>
  </si>
  <si>
    <t>RT0603FRE07301RL</t>
  </si>
  <si>
    <t>MCT06030C1500FP500</t>
  </si>
  <si>
    <t>MCT0603-150-CFDKR-ND</t>
  </si>
  <si>
    <t>MCT06030C1001FP500</t>
  </si>
  <si>
    <t>MCT0603-1.00K-CFDKR-ND</t>
  </si>
  <si>
    <t>MCT06030C2400FP500</t>
  </si>
  <si>
    <t>749-1760-6-ND</t>
  </si>
  <si>
    <t>13-RT0603FRE0756RLDKR-ND</t>
  </si>
  <si>
    <t>RT0603FRE0756RL</t>
  </si>
  <si>
    <t>Stackpole Electronics Inc</t>
  </si>
  <si>
    <t>RMCF0603FT40R2</t>
  </si>
  <si>
    <t>RMCF0603FT40R2DKR-ND</t>
  </si>
  <si>
    <t>RT0603FRE07130RL</t>
  </si>
  <si>
    <t>13-RT0603FRE07130RLDKR-ND</t>
  </si>
  <si>
    <t>ams-OSRAM USA INC.</t>
  </si>
  <si>
    <t>AP7312-1833W6-7DIDKR-ND</t>
  </si>
  <si>
    <t>AS7341-DLGTDKR-ND</t>
  </si>
  <si>
    <t>Everlight Electronics Co Ltd</t>
  </si>
  <si>
    <t>1080-1461-6-ND</t>
  </si>
  <si>
    <t>Index</t>
  </si>
  <si>
    <t>Manufacturer Part Number</t>
  </si>
  <si>
    <t>Description</t>
  </si>
  <si>
    <t>Customer Reference</t>
  </si>
  <si>
    <t>Backorder</t>
  </si>
  <si>
    <t>Unit Price</t>
  </si>
  <si>
    <t>Extended Price USD</t>
  </si>
  <si>
    <t>311-1088-1-ND</t>
  </si>
  <si>
    <t>CC0603KRX7R7BB104</t>
  </si>
  <si>
    <t>CAP CER 0.1UF 16V X7R 0603</t>
  </si>
  <si>
    <t>1276-2310-1-ND</t>
  </si>
  <si>
    <t>CL10C510JB8NNNC</t>
  </si>
  <si>
    <t>CAP CER 51PF 50V C0G/NP0 0603</t>
  </si>
  <si>
    <t>311-4019-1-ND</t>
  </si>
  <si>
    <t>CC0603JRX7R9BB473</t>
  </si>
  <si>
    <t>CAP CER 0.047UF 50V X7R 0603</t>
  </si>
  <si>
    <t>311-1446-1-ND</t>
  </si>
  <si>
    <t>CC0603KRX7R7BB105</t>
  </si>
  <si>
    <t>CAP CER 1UF 16V X7R 0603</t>
  </si>
  <si>
    <t>1276-1038-1-ND</t>
  </si>
  <si>
    <t>CL10A106KQ8NNNC</t>
  </si>
  <si>
    <t>CAP CER 10UF 6.3V X5R 0603</t>
  </si>
  <si>
    <t>490-7611-1-ND</t>
  </si>
  <si>
    <t>GRM188R60J226MEA0D</t>
  </si>
  <si>
    <t>CAP CER 22UF 6.3V X5R 0603</t>
  </si>
  <si>
    <t>160-1405-1-ND</t>
  </si>
  <si>
    <t>LTST-C150KRKT</t>
  </si>
  <si>
    <t>LED RED CLEAR 1206 SMD</t>
  </si>
  <si>
    <t>1080-1461-1-ND</t>
  </si>
  <si>
    <t>LED COOL WHITE 6500K 2SMD</t>
  </si>
  <si>
    <t>1516-1269-1-ND</t>
  </si>
  <si>
    <t>QBLP650-IR3</t>
  </si>
  <si>
    <t>LED CHIP IR WLP 850NM 1206 SMD</t>
  </si>
  <si>
    <t>1080-1350-1-ND</t>
  </si>
  <si>
    <t>IR11-21C/TR8</t>
  </si>
  <si>
    <t>EMITTER IR 940NM 65MA 1206</t>
  </si>
  <si>
    <t>1125-1342-ND</t>
  </si>
  <si>
    <t>MTSM5010-199-IR</t>
  </si>
  <si>
    <t>SWIR EMITTER 1050NM 1206 SMD</t>
  </si>
  <si>
    <t>5242-OIS-1501300N-X-TCT-ND</t>
  </si>
  <si>
    <t>OIS-150 1300N-X-T</t>
  </si>
  <si>
    <t>SWIR EMITTER 1300NM 1206 SMD FLA</t>
  </si>
  <si>
    <t>1125-MTSM6014-194-IRCT-ND</t>
  </si>
  <si>
    <t>MTSM6014-194-IR</t>
  </si>
  <si>
    <t>SWIR EMITTER 1460NM 1206 SMD</t>
  </si>
  <si>
    <t>5242-OIS-1501550N-X-TCT-ND</t>
  </si>
  <si>
    <t>OIS-150 1550N-X-T</t>
  </si>
  <si>
    <t>SWIR EMITTER 1550NM 1206 SMD FLA</t>
  </si>
  <si>
    <t>1125-1354-ND</t>
  </si>
  <si>
    <t>MTSM5016-199-IR</t>
  </si>
  <si>
    <t>SWIR EMITTER 1650NM 1206 SMD</t>
  </si>
  <si>
    <t>1125-MTSM0012-194-IRCT-ND</t>
  </si>
  <si>
    <t>MTSM0012-194-IR</t>
  </si>
  <si>
    <t>SWIR EMITTER 1200NM 1206 SMD</t>
  </si>
  <si>
    <t>BSS138DW-FDICT-ND</t>
  </si>
  <si>
    <t>MOSFET 2N-CH 50V 0.2A SOT363</t>
  </si>
  <si>
    <t>311-240KHRCT-ND</t>
  </si>
  <si>
    <t>RC0603FR-07240KL</t>
  </si>
  <si>
    <t>RES 240K OHM 1% 1/10W 0603</t>
  </si>
  <si>
    <t>P301HCT-ND</t>
  </si>
  <si>
    <t>ERJ-3EKF3010V</t>
  </si>
  <si>
    <t>RES SMD 301 OHM 1% 1/10W 0603</t>
  </si>
  <si>
    <t>4988-NRC12ZOTRFCT-ND</t>
  </si>
  <si>
    <t>NRC12ZOTRF</t>
  </si>
  <si>
    <t>RES SMT12060M2A</t>
  </si>
  <si>
    <t>311-10KGRCT-ND</t>
  </si>
  <si>
    <t>RC0603JR-0710KL</t>
  </si>
  <si>
    <t>RES 10K OHM 5% 1/10W 0603</t>
  </si>
  <si>
    <t>311-1.00KHRCT-ND</t>
  </si>
  <si>
    <t>RC0603FR-071KL</t>
  </si>
  <si>
    <t>RES 1K OHM 1% 1/10W 0603</t>
  </si>
  <si>
    <t>P43.00BZCT-ND</t>
  </si>
  <si>
    <t>ERJ-PA3J430V</t>
  </si>
  <si>
    <t>RES SMD 43 OHM 5% 1/3W 0603</t>
  </si>
  <si>
    <t>IC ADC 24BIT SIGMA-DELTA 16SOP</t>
  </si>
  <si>
    <t>1125-MTSM2601SMF1-100-ND</t>
  </si>
  <si>
    <t>MTSM2601SMF1-100</t>
  </si>
  <si>
    <t>SENSOR PHOTODIODE 800-2600NM SMD</t>
  </si>
  <si>
    <t>296-36508-1-ND</t>
  </si>
  <si>
    <t>IC LED DRVR LIN PWM 50MA 16TSSOP</t>
  </si>
  <si>
    <t>AS7341-DLGTCT-ND</t>
  </si>
  <si>
    <t>SENSOR OPT AMBIENT 8OLGA</t>
  </si>
  <si>
    <t>1125-MTSM1346SMF1-100-ND</t>
  </si>
  <si>
    <t>MTSM1346SMF1-100</t>
  </si>
  <si>
    <t>SENSOR PHOTODIODE 1300NM 6SMD</t>
  </si>
  <si>
    <t>AP2120N-2.5TRG1DICT-ND</t>
  </si>
  <si>
    <t>AP2120N-2.5TRG1</t>
  </si>
  <si>
    <t>IC REG LINEAR 2.5V 150MA SOT23</t>
  </si>
  <si>
    <t>50-ECS-2520MVLC-049-BN-CT-ND</t>
  </si>
  <si>
    <t>XTAL OSC XO 4.9152MHZ CMOS SMD</t>
  </si>
  <si>
    <t>AP2125N-1.8TRG1DICT-ND</t>
  </si>
  <si>
    <t>AP2125N-1.8TRG1</t>
  </si>
  <si>
    <t>IC REG LINEAR 1.8V 300MA SOT23-3</t>
  </si>
  <si>
    <t>1276-1008-1-ND</t>
  </si>
  <si>
    <t>CL10C101JB8NNNC</t>
  </si>
  <si>
    <t>CAP CER 100PF 50V C0G/NP0 0603</t>
  </si>
  <si>
    <t>296-22564-1-ND</t>
  </si>
  <si>
    <t>OPA2376AIDR</t>
  </si>
  <si>
    <t>IC OPAMP GP 2 CIRCUIT 8SOIC</t>
  </si>
  <si>
    <t>455-SM04B-SRSS-TBCT-ND</t>
  </si>
  <si>
    <t>CONN HEADER SMD R/A 4POS 1MM</t>
  </si>
  <si>
    <t>0.1uF 25V</t>
  </si>
  <si>
    <t>10uF 10V</t>
  </si>
  <si>
    <t>1uF 25V</t>
  </si>
  <si>
    <t>22uF 25V</t>
  </si>
  <si>
    <t>Capacitor 330p 16V</t>
  </si>
  <si>
    <t>Capacitor 10u 16V</t>
  </si>
  <si>
    <t>Capacitor 22u 16V</t>
  </si>
  <si>
    <t>Capacitor 0.1u 10V</t>
  </si>
  <si>
    <t>soldering max 260°C</t>
  </si>
  <si>
    <t>C1, C7, C10, C11, C13, C16, C20, C27</t>
  </si>
  <si>
    <t>C6, C8, C24</t>
  </si>
  <si>
    <t>R18, R16</t>
  </si>
  <si>
    <t>T</t>
  </si>
  <si>
    <t>cathode dot</t>
  </si>
  <si>
    <t>anode dot</t>
  </si>
  <si>
    <t>Capacitor 51p 50V</t>
  </si>
  <si>
    <t>Capacitor 100p 50V</t>
  </si>
  <si>
    <t>Capacitor 47n 50V</t>
  </si>
  <si>
    <t>change dependent on what LED ordered R8 = 75, R11 = 12, R7 = 91 or 100</t>
  </si>
  <si>
    <t>JLCPCB</t>
  </si>
  <si>
    <t>Arduino</t>
  </si>
  <si>
    <t>amplifier AC/DC</t>
  </si>
  <si>
    <t>soldering max 260°C, 50MA</t>
  </si>
  <si>
    <t>51pF 50V</t>
  </si>
  <si>
    <t>47nF 50V</t>
  </si>
  <si>
    <t>100pF 50V</t>
  </si>
  <si>
    <t>POWER LED RED</t>
  </si>
  <si>
    <t>1k, R16 = 100 Ohm</t>
  </si>
  <si>
    <t>ThroughHole Pin socket</t>
  </si>
  <si>
    <t>U8</t>
  </si>
  <si>
    <t>U9</t>
  </si>
  <si>
    <t>U10</t>
  </si>
  <si>
    <t>y</t>
  </si>
  <si>
    <t>cathode/anode marking</t>
  </si>
  <si>
    <t>850bm DOM</t>
  </si>
  <si>
    <t>940nm DOM</t>
  </si>
  <si>
    <t>1050nm DOM</t>
  </si>
  <si>
    <t>1200nm DOM</t>
  </si>
  <si>
    <t>1300nm DOM</t>
  </si>
  <si>
    <t>1460nm DOM</t>
  </si>
  <si>
    <t>1550nm DOM not available</t>
  </si>
  <si>
    <t>1650nm DOM not available</t>
  </si>
  <si>
    <t>I2C JST socket</t>
  </si>
  <si>
    <t>Button</t>
  </si>
  <si>
    <t>WS48M-A12RGB12</t>
  </si>
  <si>
    <t>Lumex Opto/Components Inc.</t>
  </si>
  <si>
    <t>67-WS48M-A12RGB12-ND</t>
  </si>
  <si>
    <t>Assembly component</t>
  </si>
  <si>
    <t>On/off switch</t>
  </si>
  <si>
    <t>CKN9565-ND</t>
  </si>
  <si>
    <t>OS102011MS2QN1</t>
  </si>
  <si>
    <t>LilyGo-TRGB</t>
  </si>
  <si>
    <t>LilyGo</t>
  </si>
  <si>
    <t>Lilygo</t>
  </si>
  <si>
    <t>Lilygo T-RGB ESP32-S3 2.1/2.8 round display</t>
  </si>
  <si>
    <t xml:space="preserve">Assembly component </t>
  </si>
  <si>
    <t xml:space="preserve">3.7V Battery </t>
  </si>
  <si>
    <t>SparkFun Electronics</t>
  </si>
  <si>
    <t>1568-15109-ND</t>
  </si>
  <si>
    <t>I2C JST Cable, QWIIC CABLE GROVE ADAPTER 100MM</t>
  </si>
  <si>
    <t>MTSM5015-194-IR</t>
  </si>
  <si>
    <t>1125-MTSM5015-194-IRDKR-ND</t>
  </si>
  <si>
    <t>Digitec</t>
  </si>
  <si>
    <t>AccuCell Akku Nvidia Shield P2570, Nvidia LC18650</t>
  </si>
  <si>
    <t>Nvidia</t>
  </si>
  <si>
    <t>Cost per device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</si>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</sst>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7"/>
      <name val="Consolas"/>
      <family val="3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name val="Calibri "/>
    </font>
    <font>
      <b/>
      <sz val="14"/>
      <color theme="1"/>
      <name val="Calibri"/>
      <family val="2"/>
      <scheme val="minor"/>
    </font>
    <font>
      <b/>
      <sz val="14"/>
      <name val="Consolas"/>
      <family val="3"/>
    </font>
    <font>
      <sz val="11"/>
      <color rgb="FFFF0000"/>
      <name val="Calibri"/>
      <family val="2"/>
      <scheme val="minor"/>
    </font>
    <font>
      <sz val="7"/>
      <color theme="1"/>
      <name val="Consolas"/>
      <family val="3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6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B7DEE8"/>
        <bgColor rgb="FFB7DEE8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double">
        <color theme="1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7" fillId="0" borderId="0" xfId="1" applyFont="1" applyAlignment="1">
      <alignment horizontal="left" vertical="center" wrapText="1"/>
    </xf>
    <xf numFmtId="0" fontId="8" fillId="0" borderId="0" xfId="0" applyFont="1"/>
    <xf numFmtId="0" fontId="7" fillId="0" borderId="0" xfId="0" applyFont="1"/>
    <xf numFmtId="0" fontId="0" fillId="3" borderId="0" xfId="0" applyFill="1"/>
    <xf numFmtId="0" fontId="9" fillId="0" borderId="0" xfId="0" applyFont="1"/>
    <xf numFmtId="0" fontId="2" fillId="3" borderId="0" xfId="0" applyFont="1" applyFill="1"/>
    <xf numFmtId="0" fontId="10" fillId="4" borderId="0" xfId="0" applyFont="1" applyFill="1"/>
    <xf numFmtId="0" fontId="11" fillId="4" borderId="0" xfId="0" applyFont="1" applyFill="1"/>
    <xf numFmtId="0" fontId="13" fillId="0" borderId="0" xfId="0" applyFont="1"/>
    <xf numFmtId="0" fontId="12" fillId="0" borderId="0" xfId="0" applyFont="1"/>
    <xf numFmtId="0" fontId="15" fillId="0" borderId="0" xfId="2" applyFill="1"/>
    <xf numFmtId="0" fontId="16" fillId="0" borderId="0" xfId="3" applyFill="1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17" fillId="0" borderId="0" xfId="0" applyFont="1"/>
    <xf numFmtId="0" fontId="0" fillId="0" borderId="0" xfId="0" applyFill="1" applyBorder="1"/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1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0" borderId="2" xfId="0" applyBorder="1"/>
    <xf numFmtId="2" fontId="0" fillId="0" borderId="2" xfId="0" applyNumberFormat="1" applyBorder="1"/>
    <xf numFmtId="0" fontId="0" fillId="0" borderId="0" xfId="0" applyAlignment="1">
      <alignment horizontal="right"/>
    </xf>
    <xf numFmtId="0" fontId="0" fillId="0" borderId="0" xfId="0" applyNumberFormat="1"/>
    <xf numFmtId="0" fontId="0" fillId="0" borderId="3" xfId="0" applyBorder="1"/>
    <xf numFmtId="2" fontId="0" fillId="0" borderId="3" xfId="0" applyNumberFormat="1" applyBorder="1"/>
    <xf numFmtId="1" fontId="0" fillId="0" borderId="3" xfId="0" applyNumberFormat="1" applyBorder="1"/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AE12-1859-4DED-A879-080DDEE0675E}">
  <dimension ref="A1:Q51"/>
  <sheetViews>
    <sheetView tabSelected="1" zoomScale="53" zoomScaleNormal="40" workbookViewId="0">
      <selection activeCell="J30" sqref="J30"/>
    </sheetView>
  </sheetViews>
  <sheetFormatPr defaultRowHeight="14.5" customHeight="1"/>
  <cols>
    <col min="1" max="1" width="16.08984375" bestFit="1" customWidth="1"/>
    <col min="2" max="2" width="10.6328125" bestFit="1" customWidth="1"/>
    <col min="3" max="3" width="9.1796875" bestFit="1" customWidth="1"/>
    <col min="4" max="4" width="13.81640625" bestFit="1" customWidth="1"/>
    <col min="5" max="5" width="28.81640625" bestFit="1" customWidth="1"/>
    <col min="6" max="6" width="24.7265625" bestFit="1" customWidth="1"/>
    <col min="7" max="7" width="11.81640625" bestFit="1" customWidth="1"/>
    <col min="8" max="8" width="11.1796875" bestFit="1" customWidth="1"/>
    <col min="9" max="9" width="17" bestFit="1" customWidth="1"/>
    <col min="10" max="10" width="40.90625" bestFit="1" customWidth="1"/>
    <col min="11" max="11" width="22" bestFit="1" customWidth="1"/>
    <col min="12" max="12" width="14.36328125" bestFit="1" customWidth="1"/>
    <col min="13" max="13" width="7.90625" bestFit="1" customWidth="1"/>
    <col min="14" max="14" width="12.1796875" bestFit="1" customWidth="1"/>
    <col min="15" max="15" width="19.90625" style="3" bestFit="1" customWidth="1"/>
    <col min="16" max="16" width="18" customWidth="1"/>
    <col min="17" max="17" width="20" customWidth="1"/>
  </cols>
  <sheetData>
    <row r="1" spans="1:17" s="22" customFormat="1" ht="14.5" customHeight="1" thickBot="1">
      <c r="A1" s="23" t="s">
        <v>0</v>
      </c>
      <c r="B1" s="23" t="s">
        <v>334</v>
      </c>
      <c r="C1" s="23" t="s">
        <v>335</v>
      </c>
      <c r="D1" s="23" t="s">
        <v>132</v>
      </c>
      <c r="E1" s="23" t="s">
        <v>523</v>
      </c>
      <c r="F1" s="23" t="s">
        <v>336</v>
      </c>
      <c r="G1" s="23" t="s">
        <v>68</v>
      </c>
      <c r="H1" s="23" t="s">
        <v>133</v>
      </c>
      <c r="I1" s="24" t="s">
        <v>2</v>
      </c>
      <c r="J1" s="24" t="s">
        <v>3</v>
      </c>
      <c r="K1" s="24" t="s">
        <v>4</v>
      </c>
      <c r="L1" s="24" t="s">
        <v>5</v>
      </c>
      <c r="M1" s="25" t="s">
        <v>337</v>
      </c>
      <c r="N1" s="24" t="s">
        <v>338</v>
      </c>
      <c r="O1" s="23" t="s">
        <v>9</v>
      </c>
      <c r="P1" s="23" t="s">
        <v>555</v>
      </c>
      <c r="Q1" s="21"/>
    </row>
    <row r="2" spans="1:17" ht="14.5" customHeight="1">
      <c r="A2">
        <v>1</v>
      </c>
      <c r="B2" t="s">
        <v>522</v>
      </c>
      <c r="C2" t="s">
        <v>522</v>
      </c>
      <c r="D2" t="s">
        <v>17</v>
      </c>
      <c r="F2" t="s">
        <v>299</v>
      </c>
      <c r="H2">
        <v>1</v>
      </c>
      <c r="I2" t="s">
        <v>509</v>
      </c>
      <c r="K2" s="18"/>
      <c r="M2">
        <v>5</v>
      </c>
      <c r="N2" s="18">
        <f>M2-H2</f>
        <v>4</v>
      </c>
      <c r="O2" s="30">
        <f>6.8/5</f>
        <v>1.3599999999999999</v>
      </c>
      <c r="P2">
        <f>O2*H2</f>
        <v>1.3599999999999999</v>
      </c>
    </row>
    <row r="3" spans="1:17" ht="14.5" customHeight="1">
      <c r="A3">
        <v>2</v>
      </c>
      <c r="B3" t="s">
        <v>522</v>
      </c>
      <c r="C3" t="s">
        <v>522</v>
      </c>
      <c r="D3" t="s">
        <v>499</v>
      </c>
      <c r="F3" t="s">
        <v>490</v>
      </c>
      <c r="G3" t="s">
        <v>305</v>
      </c>
      <c r="H3">
        <v>8</v>
      </c>
      <c r="I3" t="s">
        <v>346</v>
      </c>
      <c r="J3" t="s">
        <v>348</v>
      </c>
      <c r="K3" s="18" t="s">
        <v>93</v>
      </c>
      <c r="L3" t="s">
        <v>347</v>
      </c>
      <c r="M3">
        <v>16</v>
      </c>
      <c r="N3" s="18">
        <f>M3-H3</f>
        <v>8</v>
      </c>
      <c r="O3">
        <v>0.08</v>
      </c>
      <c r="P3">
        <f t="shared" ref="P3:P47" si="0">O3*H3</f>
        <v>0.64</v>
      </c>
    </row>
    <row r="4" spans="1:17" s="1" customFormat="1" ht="14.5" customHeight="1">
      <c r="A4">
        <v>3</v>
      </c>
      <c r="B4" t="s">
        <v>522</v>
      </c>
      <c r="C4" t="s">
        <v>522</v>
      </c>
      <c r="D4" t="s">
        <v>300</v>
      </c>
      <c r="E4"/>
      <c r="F4" t="s">
        <v>513</v>
      </c>
      <c r="G4" t="s">
        <v>305</v>
      </c>
      <c r="H4">
        <v>4</v>
      </c>
      <c r="I4" t="s">
        <v>346</v>
      </c>
      <c r="J4" t="s">
        <v>349</v>
      </c>
      <c r="K4" s="18" t="s">
        <v>93</v>
      </c>
      <c r="L4" t="s">
        <v>350</v>
      </c>
      <c r="M4">
        <v>8</v>
      </c>
      <c r="N4" s="18">
        <f t="shared" ref="N4:N43" si="1">M4-H4</f>
        <v>4</v>
      </c>
      <c r="O4">
        <v>0.1</v>
      </c>
      <c r="P4">
        <f t="shared" si="0"/>
        <v>0.4</v>
      </c>
    </row>
    <row r="5" spans="1:17" ht="14.5" customHeight="1">
      <c r="A5">
        <v>4</v>
      </c>
      <c r="B5" t="s">
        <v>522</v>
      </c>
      <c r="C5" t="s">
        <v>522</v>
      </c>
      <c r="D5" t="s">
        <v>301</v>
      </c>
      <c r="F5" t="s">
        <v>491</v>
      </c>
      <c r="G5" t="s">
        <v>305</v>
      </c>
      <c r="H5">
        <v>3</v>
      </c>
      <c r="I5" t="s">
        <v>351</v>
      </c>
      <c r="J5" t="s">
        <v>353</v>
      </c>
      <c r="K5" s="18" t="s">
        <v>93</v>
      </c>
      <c r="L5" t="s">
        <v>352</v>
      </c>
      <c r="M5">
        <v>6</v>
      </c>
      <c r="N5" s="18">
        <f t="shared" si="1"/>
        <v>3</v>
      </c>
      <c r="O5">
        <v>0.28000000000000003</v>
      </c>
      <c r="P5">
        <f t="shared" si="0"/>
        <v>0.84000000000000008</v>
      </c>
    </row>
    <row r="6" spans="1:17" ht="14.5" customHeight="1">
      <c r="A6">
        <v>5</v>
      </c>
      <c r="B6" t="s">
        <v>522</v>
      </c>
      <c r="C6" t="s">
        <v>522</v>
      </c>
      <c r="D6" t="s">
        <v>302</v>
      </c>
      <c r="F6" t="s">
        <v>514</v>
      </c>
      <c r="G6" t="s">
        <v>305</v>
      </c>
      <c r="H6">
        <v>2</v>
      </c>
      <c r="I6" t="s">
        <v>346</v>
      </c>
      <c r="J6" t="s">
        <v>355</v>
      </c>
      <c r="K6" s="18" t="s">
        <v>93</v>
      </c>
      <c r="L6" t="s">
        <v>354</v>
      </c>
      <c r="M6">
        <v>4</v>
      </c>
      <c r="N6" s="18">
        <f t="shared" si="1"/>
        <v>2</v>
      </c>
      <c r="O6">
        <v>0.21</v>
      </c>
      <c r="P6">
        <f t="shared" si="0"/>
        <v>0.42</v>
      </c>
    </row>
    <row r="7" spans="1:17" ht="14.5" customHeight="1">
      <c r="A7">
        <v>6</v>
      </c>
      <c r="B7" t="s">
        <v>522</v>
      </c>
      <c r="C7" t="s">
        <v>522</v>
      </c>
      <c r="D7" t="s">
        <v>304</v>
      </c>
      <c r="F7" t="s">
        <v>515</v>
      </c>
      <c r="G7" t="s">
        <v>305</v>
      </c>
      <c r="H7">
        <v>2</v>
      </c>
      <c r="I7" t="s">
        <v>346</v>
      </c>
      <c r="J7" t="s">
        <v>357</v>
      </c>
      <c r="K7" s="18" t="s">
        <v>93</v>
      </c>
      <c r="L7" t="s">
        <v>356</v>
      </c>
      <c r="M7">
        <v>4</v>
      </c>
      <c r="N7" s="18">
        <f t="shared" si="1"/>
        <v>2</v>
      </c>
      <c r="O7">
        <v>0.24</v>
      </c>
      <c r="P7">
        <f t="shared" si="0"/>
        <v>0.48</v>
      </c>
    </row>
    <row r="8" spans="1:17" ht="14.5" customHeight="1">
      <c r="A8">
        <v>7</v>
      </c>
      <c r="B8" t="s">
        <v>522</v>
      </c>
      <c r="C8" t="s">
        <v>522</v>
      </c>
      <c r="D8" t="s">
        <v>500</v>
      </c>
      <c r="F8" t="s">
        <v>492</v>
      </c>
      <c r="G8" t="s">
        <v>305</v>
      </c>
      <c r="H8">
        <v>1</v>
      </c>
      <c r="I8" t="s">
        <v>359</v>
      </c>
      <c r="J8" t="s">
        <v>360</v>
      </c>
      <c r="K8" s="18" t="s">
        <v>93</v>
      </c>
      <c r="L8" t="s">
        <v>358</v>
      </c>
      <c r="M8">
        <v>4</v>
      </c>
      <c r="N8" s="18">
        <f t="shared" si="1"/>
        <v>3</v>
      </c>
      <c r="O8">
        <v>0.08</v>
      </c>
      <c r="P8">
        <f t="shared" si="0"/>
        <v>0.08</v>
      </c>
    </row>
    <row r="9" spans="1:17" ht="14.5" customHeight="1">
      <c r="A9">
        <v>8</v>
      </c>
      <c r="B9" t="s">
        <v>522</v>
      </c>
      <c r="C9" t="s">
        <v>522</v>
      </c>
      <c r="D9" t="s">
        <v>303</v>
      </c>
      <c r="F9" t="s">
        <v>493</v>
      </c>
      <c r="G9" t="s">
        <v>305</v>
      </c>
      <c r="H9">
        <v>1</v>
      </c>
      <c r="I9" t="s">
        <v>351</v>
      </c>
      <c r="J9" t="s">
        <v>362</v>
      </c>
      <c r="K9" s="18" t="s">
        <v>93</v>
      </c>
      <c r="L9" t="s">
        <v>361</v>
      </c>
      <c r="M9">
        <v>4</v>
      </c>
      <c r="N9" s="18">
        <f t="shared" si="1"/>
        <v>3</v>
      </c>
      <c r="O9">
        <v>0.41</v>
      </c>
      <c r="P9">
        <f t="shared" si="0"/>
        <v>0.41</v>
      </c>
    </row>
    <row r="10" spans="1:17" ht="14.5" customHeight="1">
      <c r="A10">
        <v>9</v>
      </c>
      <c r="B10" t="s">
        <v>522</v>
      </c>
      <c r="C10" t="s">
        <v>522</v>
      </c>
      <c r="D10" t="s">
        <v>306</v>
      </c>
      <c r="F10" t="s">
        <v>87</v>
      </c>
      <c r="G10" t="s">
        <v>312</v>
      </c>
      <c r="H10">
        <v>5</v>
      </c>
      <c r="I10" t="s">
        <v>363</v>
      </c>
      <c r="J10" t="s">
        <v>365</v>
      </c>
      <c r="K10" s="18" t="s">
        <v>93</v>
      </c>
      <c r="L10" t="s">
        <v>364</v>
      </c>
      <c r="M10">
        <v>10</v>
      </c>
      <c r="N10" s="18">
        <f t="shared" si="1"/>
        <v>5</v>
      </c>
      <c r="O10">
        <v>0.1</v>
      </c>
      <c r="P10">
        <f t="shared" si="0"/>
        <v>0.5</v>
      </c>
    </row>
    <row r="11" spans="1:17" ht="14.5" customHeight="1">
      <c r="A11">
        <v>10</v>
      </c>
      <c r="B11" t="s">
        <v>522</v>
      </c>
      <c r="C11" t="s">
        <v>522</v>
      </c>
      <c r="D11" t="s">
        <v>307</v>
      </c>
      <c r="F11" t="s">
        <v>81</v>
      </c>
      <c r="G11" t="s">
        <v>312</v>
      </c>
      <c r="H11">
        <v>4</v>
      </c>
      <c r="I11" t="s">
        <v>366</v>
      </c>
      <c r="J11" t="s">
        <v>368</v>
      </c>
      <c r="K11" s="18" t="s">
        <v>93</v>
      </c>
      <c r="L11" t="s">
        <v>367</v>
      </c>
      <c r="M11">
        <v>8</v>
      </c>
      <c r="N11" s="18">
        <f t="shared" si="1"/>
        <v>4</v>
      </c>
      <c r="O11">
        <v>0.1</v>
      </c>
      <c r="P11">
        <f t="shared" si="0"/>
        <v>0.4</v>
      </c>
    </row>
    <row r="12" spans="1:17" ht="14.5" customHeight="1">
      <c r="A12">
        <v>11</v>
      </c>
      <c r="B12" t="s">
        <v>522</v>
      </c>
      <c r="C12" t="s">
        <v>522</v>
      </c>
      <c r="D12" t="s">
        <v>313</v>
      </c>
      <c r="F12" s="3">
        <v>301</v>
      </c>
      <c r="G12" t="s">
        <v>312</v>
      </c>
      <c r="H12">
        <v>4</v>
      </c>
      <c r="I12" t="s">
        <v>366</v>
      </c>
      <c r="J12" t="s">
        <v>370</v>
      </c>
      <c r="K12" s="18" t="s">
        <v>93</v>
      </c>
      <c r="L12" t="s">
        <v>369</v>
      </c>
      <c r="M12">
        <v>8</v>
      </c>
      <c r="N12" s="18">
        <f t="shared" si="1"/>
        <v>4</v>
      </c>
      <c r="O12">
        <v>0.1</v>
      </c>
      <c r="P12">
        <f t="shared" si="0"/>
        <v>0.4</v>
      </c>
    </row>
    <row r="13" spans="1:17" ht="14.5" customHeight="1">
      <c r="A13">
        <v>12</v>
      </c>
      <c r="B13" t="s">
        <v>522</v>
      </c>
      <c r="C13" t="s">
        <v>522</v>
      </c>
      <c r="D13" t="s">
        <v>314</v>
      </c>
      <c r="F13" s="3">
        <v>150</v>
      </c>
      <c r="G13" t="s">
        <v>312</v>
      </c>
      <c r="H13">
        <v>4</v>
      </c>
      <c r="I13" t="s">
        <v>363</v>
      </c>
      <c r="J13" t="s">
        <v>371</v>
      </c>
      <c r="K13" s="18" t="s">
        <v>93</v>
      </c>
      <c r="L13" t="s">
        <v>372</v>
      </c>
      <c r="M13">
        <v>8</v>
      </c>
      <c r="N13" s="18">
        <f t="shared" si="1"/>
        <v>4</v>
      </c>
      <c r="O13">
        <v>0.1</v>
      </c>
      <c r="P13">
        <f t="shared" si="0"/>
        <v>0.4</v>
      </c>
    </row>
    <row r="14" spans="1:17" ht="14.5" customHeight="1">
      <c r="A14">
        <v>13</v>
      </c>
      <c r="B14" t="s">
        <v>522</v>
      </c>
      <c r="C14" t="s">
        <v>522</v>
      </c>
      <c r="D14" t="s">
        <v>501</v>
      </c>
      <c r="F14" s="3" t="s">
        <v>517</v>
      </c>
      <c r="G14" t="s">
        <v>312</v>
      </c>
      <c r="H14">
        <v>2</v>
      </c>
      <c r="I14" t="s">
        <v>363</v>
      </c>
      <c r="J14" t="s">
        <v>373</v>
      </c>
      <c r="K14" s="18" t="s">
        <v>93</v>
      </c>
      <c r="L14" t="s">
        <v>374</v>
      </c>
      <c r="M14">
        <v>4</v>
      </c>
      <c r="N14" s="18">
        <f t="shared" si="1"/>
        <v>2</v>
      </c>
      <c r="O14">
        <v>0.1</v>
      </c>
      <c r="P14">
        <f t="shared" si="0"/>
        <v>0.2</v>
      </c>
    </row>
    <row r="15" spans="1:17" ht="14.5" customHeight="1">
      <c r="A15">
        <v>14</v>
      </c>
      <c r="B15" t="s">
        <v>522</v>
      </c>
      <c r="C15" t="s">
        <v>522</v>
      </c>
      <c r="D15" t="s">
        <v>309</v>
      </c>
      <c r="F15" s="3">
        <v>240</v>
      </c>
      <c r="G15" t="s">
        <v>312</v>
      </c>
      <c r="H15">
        <v>2</v>
      </c>
      <c r="I15" t="s">
        <v>363</v>
      </c>
      <c r="J15" t="s">
        <v>375</v>
      </c>
      <c r="K15" s="18" t="s">
        <v>93</v>
      </c>
      <c r="L15" t="s">
        <v>376</v>
      </c>
      <c r="M15">
        <v>4</v>
      </c>
      <c r="N15" s="18">
        <f t="shared" si="1"/>
        <v>2</v>
      </c>
      <c r="O15">
        <v>0.1</v>
      </c>
      <c r="P15">
        <f>O15*H15</f>
        <v>0.2</v>
      </c>
    </row>
    <row r="16" spans="1:17" ht="14.5" customHeight="1">
      <c r="A16">
        <v>15</v>
      </c>
      <c r="B16" t="s">
        <v>522</v>
      </c>
      <c r="C16" t="s">
        <v>522</v>
      </c>
      <c r="D16" t="s">
        <v>308</v>
      </c>
      <c r="F16" s="3">
        <v>56</v>
      </c>
      <c r="G16" t="s">
        <v>312</v>
      </c>
      <c r="H16">
        <v>1</v>
      </c>
      <c r="I16" t="s">
        <v>366</v>
      </c>
      <c r="J16" t="s">
        <v>378</v>
      </c>
      <c r="K16" s="18" t="s">
        <v>93</v>
      </c>
      <c r="L16" t="s">
        <v>377</v>
      </c>
      <c r="M16">
        <v>4</v>
      </c>
      <c r="N16" s="18">
        <f t="shared" si="1"/>
        <v>3</v>
      </c>
      <c r="O16">
        <v>0.1</v>
      </c>
      <c r="P16">
        <f t="shared" si="0"/>
        <v>0.1</v>
      </c>
    </row>
    <row r="17" spans="1:16" ht="14.5" customHeight="1">
      <c r="A17">
        <v>16</v>
      </c>
      <c r="B17" t="s">
        <v>522</v>
      </c>
      <c r="C17" t="s">
        <v>522</v>
      </c>
      <c r="D17" t="s">
        <v>311</v>
      </c>
      <c r="F17" s="3">
        <v>40</v>
      </c>
      <c r="G17" t="s">
        <v>312</v>
      </c>
      <c r="H17">
        <v>1</v>
      </c>
      <c r="I17" t="s">
        <v>379</v>
      </c>
      <c r="J17" t="s">
        <v>380</v>
      </c>
      <c r="K17" s="18" t="s">
        <v>93</v>
      </c>
      <c r="L17" t="s">
        <v>381</v>
      </c>
      <c r="M17">
        <v>4</v>
      </c>
      <c r="N17" s="18">
        <f t="shared" si="1"/>
        <v>3</v>
      </c>
      <c r="O17">
        <v>0.1</v>
      </c>
      <c r="P17">
        <f t="shared" si="0"/>
        <v>0.1</v>
      </c>
    </row>
    <row r="18" spans="1:16" ht="14.5" customHeight="1">
      <c r="A18">
        <v>17</v>
      </c>
      <c r="B18" t="s">
        <v>522</v>
      </c>
      <c r="C18" t="s">
        <v>522</v>
      </c>
      <c r="D18" t="s">
        <v>310</v>
      </c>
      <c r="F18" s="3">
        <v>130</v>
      </c>
      <c r="G18" t="s">
        <v>312</v>
      </c>
      <c r="H18">
        <v>1</v>
      </c>
      <c r="I18" t="s">
        <v>366</v>
      </c>
      <c r="J18" t="s">
        <v>382</v>
      </c>
      <c r="K18" s="18" t="s">
        <v>93</v>
      </c>
      <c r="L18" t="s">
        <v>383</v>
      </c>
      <c r="M18">
        <v>4</v>
      </c>
      <c r="N18" s="18">
        <f t="shared" si="1"/>
        <v>3</v>
      </c>
      <c r="O18">
        <v>0.1</v>
      </c>
      <c r="P18">
        <f t="shared" si="0"/>
        <v>0.1</v>
      </c>
    </row>
    <row r="19" spans="1:16" ht="14.5" customHeight="1">
      <c r="A19">
        <v>18</v>
      </c>
      <c r="B19" t="s">
        <v>522</v>
      </c>
      <c r="C19" t="s">
        <v>522</v>
      </c>
      <c r="D19" t="s">
        <v>219</v>
      </c>
      <c r="F19" t="s">
        <v>516</v>
      </c>
      <c r="G19" t="s">
        <v>88</v>
      </c>
      <c r="H19">
        <v>1</v>
      </c>
      <c r="I19" t="s">
        <v>261</v>
      </c>
      <c r="J19" t="s">
        <v>262</v>
      </c>
      <c r="K19" s="18" t="s">
        <v>93</v>
      </c>
      <c r="L19" t="s">
        <v>264</v>
      </c>
      <c r="M19">
        <v>3</v>
      </c>
      <c r="N19" s="18">
        <f t="shared" si="1"/>
        <v>2</v>
      </c>
      <c r="O19">
        <v>0.43</v>
      </c>
      <c r="P19">
        <f t="shared" si="0"/>
        <v>0.43</v>
      </c>
    </row>
    <row r="20" spans="1:16" ht="14.5" customHeight="1">
      <c r="A20">
        <v>19</v>
      </c>
      <c r="B20" t="s">
        <v>522</v>
      </c>
      <c r="C20" t="s">
        <v>522</v>
      </c>
      <c r="D20" t="s">
        <v>315</v>
      </c>
      <c r="E20" t="s">
        <v>502</v>
      </c>
      <c r="F20" t="s">
        <v>316</v>
      </c>
      <c r="G20" t="s">
        <v>317</v>
      </c>
      <c r="H20">
        <v>1</v>
      </c>
      <c r="I20" t="s">
        <v>387</v>
      </c>
      <c r="J20" t="s">
        <v>316</v>
      </c>
      <c r="K20" s="18" t="s">
        <v>93</v>
      </c>
      <c r="L20" t="s">
        <v>388</v>
      </c>
      <c r="M20">
        <v>2</v>
      </c>
      <c r="N20" s="18">
        <f t="shared" si="1"/>
        <v>1</v>
      </c>
      <c r="O20">
        <v>0.28999999999999998</v>
      </c>
      <c r="P20">
        <f t="shared" si="0"/>
        <v>0.28999999999999998</v>
      </c>
    </row>
    <row r="21" spans="1:16" ht="14.5" customHeight="1">
      <c r="A21">
        <v>20</v>
      </c>
      <c r="B21" t="s">
        <v>522</v>
      </c>
      <c r="C21" t="s">
        <v>522</v>
      </c>
      <c r="D21" t="s">
        <v>220</v>
      </c>
      <c r="E21" t="s">
        <v>502</v>
      </c>
      <c r="F21" s="3" t="s">
        <v>524</v>
      </c>
      <c r="G21" t="s">
        <v>98</v>
      </c>
      <c r="H21">
        <v>1</v>
      </c>
      <c r="I21" t="s">
        <v>298</v>
      </c>
      <c r="J21" t="s">
        <v>297</v>
      </c>
      <c r="K21" s="18" t="s">
        <v>93</v>
      </c>
      <c r="L21" t="s">
        <v>296</v>
      </c>
      <c r="M21">
        <v>2</v>
      </c>
      <c r="N21" s="18">
        <f t="shared" si="1"/>
        <v>1</v>
      </c>
      <c r="O21">
        <v>0.56999999999999995</v>
      </c>
      <c r="P21">
        <f t="shared" si="0"/>
        <v>0.56999999999999995</v>
      </c>
    </row>
    <row r="22" spans="1:16" ht="14.5" customHeight="1">
      <c r="A22">
        <v>21</v>
      </c>
      <c r="B22" t="s">
        <v>522</v>
      </c>
      <c r="C22" t="s">
        <v>522</v>
      </c>
      <c r="D22" t="s">
        <v>221</v>
      </c>
      <c r="E22" t="s">
        <v>503</v>
      </c>
      <c r="F22" t="s">
        <v>525</v>
      </c>
      <c r="G22" t="s">
        <v>98</v>
      </c>
      <c r="H22">
        <v>1</v>
      </c>
      <c r="I22" t="s">
        <v>291</v>
      </c>
      <c r="J22" t="s">
        <v>289</v>
      </c>
      <c r="K22" s="18" t="s">
        <v>93</v>
      </c>
      <c r="L22" t="s">
        <v>290</v>
      </c>
      <c r="M22">
        <v>2</v>
      </c>
      <c r="N22" s="18">
        <f t="shared" si="1"/>
        <v>1</v>
      </c>
      <c r="O22">
        <v>0.48</v>
      </c>
      <c r="P22">
        <f t="shared" si="0"/>
        <v>0.48</v>
      </c>
    </row>
    <row r="23" spans="1:16" ht="14.5" customHeight="1">
      <c r="A23">
        <v>22</v>
      </c>
      <c r="B23" t="s">
        <v>522</v>
      </c>
      <c r="C23" t="s">
        <v>522</v>
      </c>
      <c r="D23" t="s">
        <v>222</v>
      </c>
      <c r="E23" t="s">
        <v>503</v>
      </c>
      <c r="F23" t="s">
        <v>526</v>
      </c>
      <c r="G23" t="s">
        <v>98</v>
      </c>
      <c r="H23">
        <v>1</v>
      </c>
      <c r="I23" t="s">
        <v>265</v>
      </c>
      <c r="J23" t="s">
        <v>266</v>
      </c>
      <c r="K23" s="18" t="s">
        <v>93</v>
      </c>
      <c r="L23" t="s">
        <v>267</v>
      </c>
      <c r="M23">
        <v>2</v>
      </c>
      <c r="N23" s="18">
        <f t="shared" si="1"/>
        <v>1</v>
      </c>
      <c r="O23">
        <v>12.49</v>
      </c>
      <c r="P23">
        <f t="shared" si="0"/>
        <v>12.49</v>
      </c>
    </row>
    <row r="24" spans="1:16" ht="14.5" customHeight="1">
      <c r="A24">
        <v>23</v>
      </c>
      <c r="B24" t="s">
        <v>522</v>
      </c>
      <c r="C24" t="s">
        <v>522</v>
      </c>
      <c r="D24" t="s">
        <v>223</v>
      </c>
      <c r="E24" t="s">
        <v>504</v>
      </c>
      <c r="F24" t="s">
        <v>527</v>
      </c>
      <c r="G24" t="s">
        <v>98</v>
      </c>
      <c r="H24">
        <v>1</v>
      </c>
      <c r="I24" t="s">
        <v>265</v>
      </c>
      <c r="J24" t="s">
        <v>276</v>
      </c>
      <c r="K24" s="18" t="s">
        <v>93</v>
      </c>
      <c r="L24" t="s">
        <v>277</v>
      </c>
      <c r="M24">
        <v>2</v>
      </c>
      <c r="N24" s="18">
        <v>1</v>
      </c>
      <c r="O24">
        <v>13.1</v>
      </c>
      <c r="P24">
        <f t="shared" si="0"/>
        <v>13.1</v>
      </c>
    </row>
    <row r="25" spans="1:16" ht="14.5" customHeight="1">
      <c r="A25">
        <v>24</v>
      </c>
      <c r="B25" t="s">
        <v>522</v>
      </c>
      <c r="C25" t="s">
        <v>522</v>
      </c>
      <c r="D25" t="s">
        <v>224</v>
      </c>
      <c r="E25" t="s">
        <v>504</v>
      </c>
      <c r="F25" t="s">
        <v>528</v>
      </c>
      <c r="G25" t="s">
        <v>98</v>
      </c>
      <c r="H25">
        <v>1</v>
      </c>
      <c r="I25" t="s">
        <v>265</v>
      </c>
      <c r="J25" t="s">
        <v>269</v>
      </c>
      <c r="K25" s="18" t="s">
        <v>93</v>
      </c>
      <c r="L25" t="s">
        <v>268</v>
      </c>
      <c r="M25">
        <v>2</v>
      </c>
      <c r="N25" s="18">
        <f t="shared" si="1"/>
        <v>1</v>
      </c>
      <c r="O25">
        <v>13.1</v>
      </c>
      <c r="P25">
        <f t="shared" si="0"/>
        <v>13.1</v>
      </c>
    </row>
    <row r="26" spans="1:16" ht="14.5" customHeight="1">
      <c r="A26">
        <v>25</v>
      </c>
      <c r="B26" t="s">
        <v>522</v>
      </c>
      <c r="C26" t="s">
        <v>522</v>
      </c>
      <c r="D26" t="s">
        <v>225</v>
      </c>
      <c r="E26" t="s">
        <v>504</v>
      </c>
      <c r="F26" t="s">
        <v>529</v>
      </c>
      <c r="G26" t="s">
        <v>98</v>
      </c>
      <c r="H26">
        <v>1</v>
      </c>
      <c r="I26" t="s">
        <v>265</v>
      </c>
      <c r="J26" t="s">
        <v>282</v>
      </c>
      <c r="K26" s="18" t="s">
        <v>93</v>
      </c>
      <c r="L26" t="s">
        <v>278</v>
      </c>
      <c r="M26">
        <v>2</v>
      </c>
      <c r="N26" s="18">
        <f t="shared" si="1"/>
        <v>1</v>
      </c>
      <c r="O26">
        <v>13.1</v>
      </c>
      <c r="P26">
        <f t="shared" si="0"/>
        <v>13.1</v>
      </c>
    </row>
    <row r="27" spans="1:16" ht="14.5" customHeight="1">
      <c r="A27">
        <v>26</v>
      </c>
      <c r="B27" t="s">
        <v>522</v>
      </c>
      <c r="C27" t="s">
        <v>522</v>
      </c>
      <c r="D27" t="s">
        <v>226</v>
      </c>
      <c r="E27" t="s">
        <v>504</v>
      </c>
      <c r="F27" t="s">
        <v>530</v>
      </c>
      <c r="G27" t="s">
        <v>98</v>
      </c>
      <c r="H27">
        <v>1</v>
      </c>
      <c r="I27" t="s">
        <v>265</v>
      </c>
      <c r="J27" t="s">
        <v>550</v>
      </c>
      <c r="K27" s="18" t="s">
        <v>93</v>
      </c>
      <c r="L27" t="s">
        <v>551</v>
      </c>
      <c r="M27">
        <v>2</v>
      </c>
      <c r="N27" s="18">
        <f t="shared" si="1"/>
        <v>1</v>
      </c>
      <c r="O27">
        <v>13.1</v>
      </c>
      <c r="P27">
        <f t="shared" si="0"/>
        <v>13.1</v>
      </c>
    </row>
    <row r="28" spans="1:16" ht="14.5" customHeight="1">
      <c r="A28">
        <v>27</v>
      </c>
      <c r="B28" t="s">
        <v>522</v>
      </c>
      <c r="C28" t="s">
        <v>522</v>
      </c>
      <c r="D28" t="s">
        <v>227</v>
      </c>
      <c r="E28" t="s">
        <v>503</v>
      </c>
      <c r="F28" t="s">
        <v>531</v>
      </c>
      <c r="G28" t="s">
        <v>98</v>
      </c>
      <c r="H28">
        <v>1</v>
      </c>
      <c r="I28" t="s">
        <v>265</v>
      </c>
      <c r="J28" t="s">
        <v>281</v>
      </c>
      <c r="K28" s="18" t="s">
        <v>93</v>
      </c>
      <c r="L28" t="s">
        <v>280</v>
      </c>
      <c r="M28">
        <v>0</v>
      </c>
      <c r="N28" s="18">
        <f t="shared" si="1"/>
        <v>-1</v>
      </c>
      <c r="O28" s="7">
        <v>23.9</v>
      </c>
      <c r="P28">
        <f t="shared" si="0"/>
        <v>23.9</v>
      </c>
    </row>
    <row r="29" spans="1:16" ht="14.5" customHeight="1">
      <c r="A29">
        <v>28</v>
      </c>
      <c r="B29" t="s">
        <v>522</v>
      </c>
      <c r="C29" t="s">
        <v>522</v>
      </c>
      <c r="D29" t="s">
        <v>318</v>
      </c>
      <c r="F29" t="s">
        <v>107</v>
      </c>
      <c r="G29" t="s">
        <v>108</v>
      </c>
      <c r="H29" s="6">
        <v>2</v>
      </c>
      <c r="I29" t="s">
        <v>109</v>
      </c>
      <c r="J29" s="6" t="s">
        <v>107</v>
      </c>
      <c r="K29" s="18" t="s">
        <v>93</v>
      </c>
      <c r="L29" t="s">
        <v>111</v>
      </c>
      <c r="M29">
        <v>3</v>
      </c>
      <c r="N29" s="18">
        <f t="shared" si="1"/>
        <v>1</v>
      </c>
      <c r="O29">
        <v>3.15</v>
      </c>
      <c r="P29">
        <f t="shared" si="0"/>
        <v>6.3</v>
      </c>
    </row>
    <row r="30" spans="1:16" ht="14.5" customHeight="1">
      <c r="A30">
        <v>29</v>
      </c>
      <c r="B30" t="s">
        <v>522</v>
      </c>
      <c r="C30" t="s">
        <v>522</v>
      </c>
      <c r="D30" t="s">
        <v>195</v>
      </c>
      <c r="F30" t="s">
        <v>113</v>
      </c>
      <c r="G30" t="s">
        <v>319</v>
      </c>
      <c r="H30" s="6">
        <v>1</v>
      </c>
      <c r="I30" t="s">
        <v>116</v>
      </c>
      <c r="J30" s="6" t="s">
        <v>113</v>
      </c>
      <c r="K30" s="18" t="s">
        <v>93</v>
      </c>
      <c r="L30" t="s">
        <v>115</v>
      </c>
      <c r="M30">
        <v>3</v>
      </c>
      <c r="N30" s="18">
        <f t="shared" si="1"/>
        <v>2</v>
      </c>
      <c r="O30">
        <v>1.62</v>
      </c>
      <c r="P30">
        <f t="shared" si="0"/>
        <v>1.62</v>
      </c>
    </row>
    <row r="31" spans="1:16" ht="14.5" customHeight="1">
      <c r="A31">
        <v>30</v>
      </c>
      <c r="B31" t="s">
        <v>522</v>
      </c>
      <c r="C31" t="s">
        <v>522</v>
      </c>
      <c r="D31" t="s">
        <v>200</v>
      </c>
      <c r="F31" t="s">
        <v>465</v>
      </c>
      <c r="G31" t="s">
        <v>466</v>
      </c>
      <c r="H31" s="6">
        <v>1</v>
      </c>
      <c r="I31" t="s">
        <v>265</v>
      </c>
      <c r="J31" s="6" t="s">
        <v>465</v>
      </c>
      <c r="K31" s="18" t="s">
        <v>93</v>
      </c>
      <c r="L31" t="s">
        <v>464</v>
      </c>
      <c r="M31">
        <v>1</v>
      </c>
      <c r="N31" s="18">
        <f t="shared" si="1"/>
        <v>0</v>
      </c>
      <c r="O31">
        <v>36.619999999999997</v>
      </c>
      <c r="P31">
        <f t="shared" si="0"/>
        <v>36.619999999999997</v>
      </c>
    </row>
    <row r="32" spans="1:16" ht="14.5" customHeight="1">
      <c r="A32">
        <v>31</v>
      </c>
      <c r="B32" t="s">
        <v>522</v>
      </c>
      <c r="C32" t="s">
        <v>522</v>
      </c>
      <c r="D32" t="s">
        <v>139</v>
      </c>
      <c r="F32" t="s">
        <v>122</v>
      </c>
      <c r="G32" t="s">
        <v>320</v>
      </c>
      <c r="H32" s="6">
        <v>1</v>
      </c>
      <c r="I32" t="s">
        <v>109</v>
      </c>
      <c r="J32" s="6" t="s">
        <v>122</v>
      </c>
      <c r="K32" s="18" t="s">
        <v>93</v>
      </c>
      <c r="L32" t="s">
        <v>125</v>
      </c>
      <c r="M32">
        <v>3</v>
      </c>
      <c r="N32" s="18">
        <f t="shared" si="1"/>
        <v>2</v>
      </c>
      <c r="O32">
        <v>1.97</v>
      </c>
      <c r="P32">
        <f t="shared" si="0"/>
        <v>1.97</v>
      </c>
    </row>
    <row r="33" spans="1:16" ht="14.5" customHeight="1">
      <c r="A33">
        <v>32</v>
      </c>
      <c r="B33" t="s">
        <v>522</v>
      </c>
      <c r="C33" t="s">
        <v>522</v>
      </c>
      <c r="D33" t="s">
        <v>321</v>
      </c>
      <c r="F33" t="s">
        <v>322</v>
      </c>
      <c r="G33" t="s">
        <v>323</v>
      </c>
      <c r="H33" s="6">
        <v>1</v>
      </c>
      <c r="I33" s="6" t="s">
        <v>384</v>
      </c>
      <c r="J33" s="6" t="s">
        <v>322</v>
      </c>
      <c r="K33" s="18" t="s">
        <v>93</v>
      </c>
      <c r="L33" t="s">
        <v>386</v>
      </c>
      <c r="M33">
        <v>2</v>
      </c>
      <c r="N33" s="18">
        <f t="shared" si="1"/>
        <v>1</v>
      </c>
      <c r="O33">
        <v>7.64</v>
      </c>
      <c r="P33">
        <f t="shared" si="0"/>
        <v>7.64</v>
      </c>
    </row>
    <row r="34" spans="1:16" ht="14.5" customHeight="1">
      <c r="A34">
        <v>33</v>
      </c>
      <c r="B34" t="s">
        <v>522</v>
      </c>
      <c r="C34" t="s">
        <v>522</v>
      </c>
      <c r="D34" t="s">
        <v>324</v>
      </c>
      <c r="F34" t="s">
        <v>325</v>
      </c>
      <c r="G34" t="s">
        <v>325</v>
      </c>
      <c r="H34" s="6">
        <v>1</v>
      </c>
      <c r="I34" s="6" t="s">
        <v>345</v>
      </c>
      <c r="J34" s="6" t="s">
        <v>325</v>
      </c>
      <c r="K34" s="18" t="s">
        <v>93</v>
      </c>
      <c r="L34" t="s">
        <v>385</v>
      </c>
      <c r="M34">
        <v>2</v>
      </c>
      <c r="N34" s="18">
        <f t="shared" si="1"/>
        <v>1</v>
      </c>
      <c r="O34">
        <v>0.53</v>
      </c>
      <c r="P34">
        <f t="shared" si="0"/>
        <v>0.53</v>
      </c>
    </row>
    <row r="35" spans="1:16" ht="14.5" customHeight="1">
      <c r="A35">
        <v>34</v>
      </c>
      <c r="B35" t="s">
        <v>522</v>
      </c>
      <c r="C35" t="s">
        <v>522</v>
      </c>
      <c r="D35" t="s">
        <v>519</v>
      </c>
      <c r="F35" t="s">
        <v>472</v>
      </c>
      <c r="G35" t="s">
        <v>473</v>
      </c>
      <c r="H35" s="6">
        <v>1</v>
      </c>
      <c r="I35" s="6" t="s">
        <v>265</v>
      </c>
      <c r="J35" s="6" t="s">
        <v>472</v>
      </c>
      <c r="K35" s="18" t="s">
        <v>93</v>
      </c>
      <c r="L35" t="s">
        <v>471</v>
      </c>
      <c r="M35">
        <v>1</v>
      </c>
      <c r="N35" s="18">
        <f t="shared" si="1"/>
        <v>0</v>
      </c>
      <c r="O35">
        <v>33.549999999999997</v>
      </c>
      <c r="P35">
        <f t="shared" si="0"/>
        <v>33.549999999999997</v>
      </c>
    </row>
    <row r="36" spans="1:16" ht="14.5" customHeight="1">
      <c r="A36">
        <v>35</v>
      </c>
      <c r="B36" t="s">
        <v>522</v>
      </c>
      <c r="C36" t="s">
        <v>522</v>
      </c>
      <c r="D36" t="s">
        <v>520</v>
      </c>
      <c r="F36" t="s">
        <v>475</v>
      </c>
      <c r="G36" t="s">
        <v>476</v>
      </c>
      <c r="H36" s="6">
        <v>1</v>
      </c>
      <c r="I36" s="6" t="s">
        <v>345</v>
      </c>
      <c r="J36" t="s">
        <v>475</v>
      </c>
      <c r="K36" s="18" t="s">
        <v>93</v>
      </c>
      <c r="L36" t="s">
        <v>474</v>
      </c>
      <c r="M36">
        <v>3</v>
      </c>
      <c r="N36" s="18">
        <f t="shared" si="1"/>
        <v>2</v>
      </c>
      <c r="O36">
        <v>0.14000000000000001</v>
      </c>
      <c r="P36">
        <f t="shared" si="0"/>
        <v>0.14000000000000001</v>
      </c>
    </row>
    <row r="37" spans="1:16" ht="14.5" customHeight="1">
      <c r="A37">
        <v>36</v>
      </c>
      <c r="B37" t="s">
        <v>522</v>
      </c>
      <c r="C37" t="s">
        <v>522</v>
      </c>
      <c r="D37" t="s">
        <v>521</v>
      </c>
      <c r="F37" t="s">
        <v>480</v>
      </c>
      <c r="G37" t="s">
        <v>481</v>
      </c>
      <c r="H37" s="6">
        <v>1</v>
      </c>
      <c r="I37" s="6" t="s">
        <v>345</v>
      </c>
      <c r="J37" t="s">
        <v>480</v>
      </c>
      <c r="K37" s="18" t="s">
        <v>93</v>
      </c>
      <c r="L37" t="s">
        <v>479</v>
      </c>
      <c r="M37">
        <v>3</v>
      </c>
      <c r="N37" s="18">
        <v>2</v>
      </c>
      <c r="O37">
        <v>0.17</v>
      </c>
      <c r="P37">
        <f t="shared" si="0"/>
        <v>0.17</v>
      </c>
    </row>
    <row r="38" spans="1:16" ht="14.5" customHeight="1">
      <c r="A38">
        <v>37</v>
      </c>
      <c r="B38" t="s">
        <v>522</v>
      </c>
      <c r="C38" t="s">
        <v>522</v>
      </c>
      <c r="D38" t="s">
        <v>326</v>
      </c>
      <c r="F38" t="s">
        <v>327</v>
      </c>
      <c r="G38" t="s">
        <v>328</v>
      </c>
      <c r="H38" s="6">
        <v>1</v>
      </c>
      <c r="I38" s="6" t="s">
        <v>343</v>
      </c>
      <c r="J38" s="6" t="s">
        <v>341</v>
      </c>
      <c r="K38" s="18" t="s">
        <v>93</v>
      </c>
      <c r="L38" t="s">
        <v>342</v>
      </c>
      <c r="M38">
        <v>3</v>
      </c>
      <c r="N38" s="18">
        <f t="shared" si="1"/>
        <v>2</v>
      </c>
      <c r="O38">
        <v>1.24</v>
      </c>
      <c r="P38">
        <f t="shared" si="0"/>
        <v>1.24</v>
      </c>
    </row>
    <row r="39" spans="1:16" ht="14.5" customHeight="1">
      <c r="A39">
        <v>38</v>
      </c>
      <c r="B39" t="s">
        <v>522</v>
      </c>
      <c r="C39" t="s">
        <v>522</v>
      </c>
      <c r="D39" t="s">
        <v>329</v>
      </c>
      <c r="F39" t="s">
        <v>330</v>
      </c>
      <c r="G39" t="s">
        <v>331</v>
      </c>
      <c r="H39">
        <v>1</v>
      </c>
      <c r="I39" t="s">
        <v>345</v>
      </c>
      <c r="J39" t="s">
        <v>330</v>
      </c>
      <c r="K39" s="18" t="s">
        <v>93</v>
      </c>
      <c r="L39" t="s">
        <v>344</v>
      </c>
      <c r="M39">
        <v>2</v>
      </c>
      <c r="N39" s="18">
        <f t="shared" si="1"/>
        <v>1</v>
      </c>
      <c r="O39">
        <v>0.45</v>
      </c>
      <c r="P39">
        <f t="shared" si="0"/>
        <v>0.45</v>
      </c>
    </row>
    <row r="40" spans="1:16" ht="14.5" customHeight="1">
      <c r="A40">
        <v>39</v>
      </c>
      <c r="B40" t="s">
        <v>522</v>
      </c>
      <c r="C40" t="s">
        <v>522</v>
      </c>
      <c r="D40" t="s">
        <v>332</v>
      </c>
      <c r="F40" t="s">
        <v>518</v>
      </c>
      <c r="G40" t="s">
        <v>333</v>
      </c>
      <c r="H40" s="6">
        <v>1</v>
      </c>
      <c r="I40" s="6"/>
      <c r="J40" s="6"/>
      <c r="K40" s="18"/>
      <c r="M40">
        <v>5</v>
      </c>
      <c r="N40" s="18">
        <f t="shared" si="1"/>
        <v>4</v>
      </c>
      <c r="O40">
        <v>0</v>
      </c>
      <c r="P40">
        <f t="shared" si="0"/>
        <v>0</v>
      </c>
    </row>
    <row r="41" spans="1:16" ht="14.5" customHeight="1">
      <c r="A41">
        <v>40</v>
      </c>
      <c r="B41" t="s">
        <v>522</v>
      </c>
      <c r="C41" t="s">
        <v>522</v>
      </c>
      <c r="D41" t="s">
        <v>235</v>
      </c>
      <c r="F41" t="s">
        <v>532</v>
      </c>
      <c r="G41" t="s">
        <v>241</v>
      </c>
      <c r="H41">
        <v>1</v>
      </c>
      <c r="I41" t="s">
        <v>238</v>
      </c>
      <c r="J41" t="s">
        <v>239</v>
      </c>
      <c r="K41" s="18" t="s">
        <v>93</v>
      </c>
      <c r="L41" t="s">
        <v>240</v>
      </c>
      <c r="M41">
        <v>5</v>
      </c>
      <c r="N41" s="18">
        <f t="shared" si="1"/>
        <v>4</v>
      </c>
      <c r="O41">
        <v>0.5</v>
      </c>
      <c r="P41">
        <f t="shared" si="0"/>
        <v>0.5</v>
      </c>
    </row>
    <row r="42" spans="1:16" ht="14.5" customHeight="1" thickBot="1">
      <c r="A42" s="27">
        <v>41</v>
      </c>
      <c r="B42" s="27" t="s">
        <v>522</v>
      </c>
      <c r="C42" s="27" t="s">
        <v>522</v>
      </c>
      <c r="D42" s="27" t="s">
        <v>169</v>
      </c>
      <c r="E42" s="27"/>
      <c r="F42" s="27" t="s">
        <v>518</v>
      </c>
      <c r="G42" s="27" t="s">
        <v>333</v>
      </c>
      <c r="H42" s="27">
        <v>1</v>
      </c>
      <c r="I42" s="27"/>
      <c r="J42" s="27"/>
      <c r="K42" s="28"/>
      <c r="L42" s="27"/>
      <c r="M42" s="27">
        <v>5</v>
      </c>
      <c r="N42" s="28">
        <f t="shared" si="1"/>
        <v>4</v>
      </c>
      <c r="O42" s="27">
        <v>0</v>
      </c>
      <c r="P42" s="27">
        <f t="shared" si="0"/>
        <v>0</v>
      </c>
    </row>
    <row r="43" spans="1:16" ht="14.5" customHeight="1">
      <c r="A43" s="20">
        <v>42</v>
      </c>
      <c r="B43" s="20" t="s">
        <v>522</v>
      </c>
      <c r="C43" s="20" t="s">
        <v>522</v>
      </c>
      <c r="E43" t="s">
        <v>537</v>
      </c>
      <c r="F43" s="20" t="s">
        <v>533</v>
      </c>
      <c r="H43" s="20">
        <v>1</v>
      </c>
      <c r="I43" t="s">
        <v>535</v>
      </c>
      <c r="J43" t="s">
        <v>534</v>
      </c>
      <c r="K43" s="18" t="s">
        <v>93</v>
      </c>
      <c r="L43" t="s">
        <v>536</v>
      </c>
      <c r="M43" s="20">
        <v>1</v>
      </c>
      <c r="N43" s="18">
        <v>1</v>
      </c>
      <c r="O43">
        <v>18.3</v>
      </c>
      <c r="P43">
        <f t="shared" si="0"/>
        <v>18.3</v>
      </c>
    </row>
    <row r="44" spans="1:16" ht="14.5" customHeight="1">
      <c r="A44" s="20">
        <v>43</v>
      </c>
      <c r="B44" s="20" t="s">
        <v>522</v>
      </c>
      <c r="C44" s="20" t="s">
        <v>522</v>
      </c>
      <c r="E44" t="s">
        <v>537</v>
      </c>
      <c r="F44" s="20" t="s">
        <v>538</v>
      </c>
      <c r="H44" s="20">
        <v>1</v>
      </c>
      <c r="I44" t="s">
        <v>242</v>
      </c>
      <c r="J44" t="s">
        <v>540</v>
      </c>
      <c r="K44" s="18" t="s">
        <v>93</v>
      </c>
      <c r="L44" t="s">
        <v>539</v>
      </c>
      <c r="M44" s="20">
        <v>1</v>
      </c>
      <c r="N44" s="18">
        <v>1</v>
      </c>
      <c r="O44" s="29">
        <v>0.71</v>
      </c>
      <c r="P44">
        <f t="shared" si="0"/>
        <v>0.71</v>
      </c>
    </row>
    <row r="45" spans="1:16" ht="14.5" customHeight="1">
      <c r="A45" s="20">
        <v>44</v>
      </c>
      <c r="B45" s="20" t="s">
        <v>522</v>
      </c>
      <c r="C45" s="20" t="s">
        <v>522</v>
      </c>
      <c r="E45" t="s">
        <v>537</v>
      </c>
      <c r="F45" s="20" t="s">
        <v>541</v>
      </c>
      <c r="H45" s="20">
        <v>1</v>
      </c>
      <c r="I45" t="s">
        <v>542</v>
      </c>
      <c r="J45" t="s">
        <v>544</v>
      </c>
      <c r="K45" s="18" t="s">
        <v>543</v>
      </c>
      <c r="M45" s="20">
        <v>1</v>
      </c>
      <c r="N45" s="18">
        <v>1</v>
      </c>
      <c r="O45" s="29">
        <v>30.04</v>
      </c>
      <c r="P45">
        <f t="shared" si="0"/>
        <v>30.04</v>
      </c>
    </row>
    <row r="46" spans="1:16" ht="14.5" customHeight="1">
      <c r="A46" s="20">
        <v>45</v>
      </c>
      <c r="B46" s="20" t="s">
        <v>522</v>
      </c>
      <c r="C46" s="20" t="s">
        <v>522</v>
      </c>
      <c r="E46" t="s">
        <v>545</v>
      </c>
      <c r="F46" s="20" t="s">
        <v>546</v>
      </c>
      <c r="H46" s="20">
        <v>1</v>
      </c>
      <c r="I46" t="s">
        <v>554</v>
      </c>
      <c r="J46" t="s">
        <v>553</v>
      </c>
      <c r="K46" s="18" t="s">
        <v>552</v>
      </c>
      <c r="L46">
        <v>23192203</v>
      </c>
      <c r="M46" s="20">
        <v>1</v>
      </c>
      <c r="N46" s="18">
        <v>1</v>
      </c>
      <c r="O46" s="29">
        <v>38.03</v>
      </c>
      <c r="P46">
        <f t="shared" si="0"/>
        <v>38.03</v>
      </c>
    </row>
    <row r="47" spans="1:16" ht="14.5" customHeight="1">
      <c r="A47" s="6">
        <v>46</v>
      </c>
      <c r="B47" s="20" t="s">
        <v>522</v>
      </c>
      <c r="C47" s="20" t="s">
        <v>522</v>
      </c>
      <c r="E47" t="s">
        <v>537</v>
      </c>
      <c r="F47" s="20" t="s">
        <v>549</v>
      </c>
      <c r="H47" s="20">
        <v>1</v>
      </c>
      <c r="I47" t="s">
        <v>547</v>
      </c>
      <c r="J47">
        <v>15109</v>
      </c>
      <c r="K47" s="18" t="s">
        <v>93</v>
      </c>
      <c r="L47" t="s">
        <v>548</v>
      </c>
      <c r="M47" s="20">
        <v>1</v>
      </c>
      <c r="N47" s="18">
        <v>1</v>
      </c>
      <c r="O47" s="29">
        <v>1.95</v>
      </c>
      <c r="P47">
        <f t="shared" si="0"/>
        <v>1.95</v>
      </c>
    </row>
    <row r="48" spans="1:16" ht="14.5" customHeight="1" thickBot="1">
      <c r="A48" s="33"/>
      <c r="B48" s="33"/>
      <c r="C48" s="31"/>
      <c r="D48" s="31"/>
      <c r="E48" s="31"/>
      <c r="F48" s="31"/>
      <c r="G48" s="31"/>
      <c r="H48" s="33"/>
      <c r="I48" s="33"/>
      <c r="J48" s="31"/>
      <c r="K48" s="32"/>
      <c r="L48" s="31"/>
      <c r="M48" s="31"/>
      <c r="N48" s="31"/>
      <c r="O48" s="31"/>
      <c r="P48" s="31"/>
    </row>
    <row r="49" spans="1:16" ht="14.5" customHeight="1" thickTop="1">
      <c r="A49" s="17"/>
      <c r="B49" s="17"/>
      <c r="H49" s="17"/>
      <c r="I49" s="17"/>
      <c r="K49" s="18"/>
      <c r="O49" t="s">
        <v>556</v>
      </c>
      <c r="P49" s="20">
        <f>SUM(P2:P47)</f>
        <v>277.34999999999997</v>
      </c>
    </row>
    <row r="50" spans="1:16" ht="14.5" customHeight="1">
      <c r="A50" s="17"/>
      <c r="B50" s="17"/>
      <c r="H50" s="17"/>
      <c r="I50" s="17"/>
      <c r="K50" s="18"/>
      <c r="O50"/>
    </row>
    <row r="51" spans="1:16" ht="14.5" customHeight="1">
      <c r="A51" s="17"/>
      <c r="B51" s="17"/>
      <c r="H51" s="17"/>
      <c r="I51" s="17"/>
      <c r="K51" s="18"/>
      <c r="O51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zoomScale="64" zoomScaleNormal="85" workbookViewId="0">
      <selection activeCell="G26" sqref="G26"/>
    </sheetView>
  </sheetViews>
  <sheetFormatPr defaultRowHeight="14.5"/>
  <cols>
    <col min="1" max="1" width="11.6328125" bestFit="1" customWidth="1"/>
    <col min="2" max="2" width="7.54296875" bestFit="1" customWidth="1"/>
    <col min="3" max="3" width="9.90625" bestFit="1" customWidth="1"/>
    <col min="4" max="4" width="21.26953125" bestFit="1" customWidth="1"/>
    <col min="5" max="5" width="23.90625" bestFit="1" customWidth="1"/>
    <col min="6" max="6" width="12.453125" bestFit="1" customWidth="1"/>
    <col min="7" max="7" width="30" bestFit="1" customWidth="1"/>
    <col min="8" max="8" width="15.7265625" bestFit="1" customWidth="1"/>
    <col min="9" max="9" width="10.81640625" bestFit="1" customWidth="1"/>
    <col min="10" max="10" width="20" bestFit="1" customWidth="1"/>
    <col min="11" max="11" width="8.7265625" bestFit="1" customWidth="1"/>
    <col min="12" max="12" width="16.453125" bestFit="1" customWidth="1"/>
    <col min="13" max="13" width="5.54296875" bestFit="1" customWidth="1"/>
    <col min="14" max="14" width="8.54296875" bestFit="1" customWidth="1"/>
    <col min="15" max="15" width="20.453125" style="3" bestFit="1" customWidth="1"/>
    <col min="16" max="16" width="13.90625" bestFit="1" customWidth="1"/>
    <col min="17" max="17" width="14.54296875" bestFit="1" customWidth="1"/>
    <col min="18" max="18" width="15.1796875" bestFit="1" customWidth="1"/>
    <col min="19" max="19" width="14.81640625" bestFit="1" customWidth="1"/>
  </cols>
  <sheetData>
    <row r="1" spans="1:17" ht="15" thickBot="1">
      <c r="A1" s="25" t="s">
        <v>0</v>
      </c>
      <c r="B1" s="23" t="s">
        <v>334</v>
      </c>
      <c r="C1" s="24" t="s">
        <v>132</v>
      </c>
      <c r="D1" s="25" t="s">
        <v>1</v>
      </c>
      <c r="E1" s="25" t="s">
        <v>284</v>
      </c>
      <c r="F1" s="25" t="s">
        <v>2</v>
      </c>
      <c r="G1" s="25" t="s">
        <v>3</v>
      </c>
      <c r="H1" s="25" t="s">
        <v>4</v>
      </c>
      <c r="I1" s="25" t="s">
        <v>5</v>
      </c>
      <c r="J1" s="25" t="s">
        <v>6</v>
      </c>
      <c r="K1" s="24" t="s">
        <v>68</v>
      </c>
      <c r="L1" s="25" t="s">
        <v>7</v>
      </c>
      <c r="M1" s="25" t="s">
        <v>337</v>
      </c>
      <c r="N1" s="24" t="s">
        <v>338</v>
      </c>
      <c r="O1" s="26" t="s">
        <v>8</v>
      </c>
      <c r="P1" s="25" t="s">
        <v>9</v>
      </c>
      <c r="Q1" s="25" t="s">
        <v>10</v>
      </c>
    </row>
    <row r="2" spans="1:17">
      <c r="A2">
        <v>1</v>
      </c>
      <c r="B2" t="s">
        <v>522</v>
      </c>
      <c r="C2" t="s">
        <v>255</v>
      </c>
      <c r="D2" t="s">
        <v>256</v>
      </c>
      <c r="F2" t="s">
        <v>509</v>
      </c>
      <c r="J2">
        <v>1</v>
      </c>
      <c r="K2" t="s">
        <v>257</v>
      </c>
      <c r="L2" t="s">
        <v>20</v>
      </c>
      <c r="M2">
        <v>5</v>
      </c>
      <c r="N2">
        <f>M2-J2</f>
        <v>4</v>
      </c>
    </row>
    <row r="3" spans="1:17">
      <c r="A3">
        <v>2</v>
      </c>
      <c r="B3" t="s">
        <v>522</v>
      </c>
      <c r="C3" t="s">
        <v>206</v>
      </c>
      <c r="D3" t="s">
        <v>497</v>
      </c>
      <c r="J3">
        <v>6</v>
      </c>
      <c r="K3" s="2" t="s">
        <v>69</v>
      </c>
      <c r="L3" t="s">
        <v>258</v>
      </c>
      <c r="M3">
        <v>12</v>
      </c>
      <c r="N3">
        <f t="shared" ref="N3:N38" si="0">M3-J3</f>
        <v>6</v>
      </c>
      <c r="O3" s="3" t="s">
        <v>70</v>
      </c>
    </row>
    <row r="4" spans="1:17">
      <c r="A4">
        <v>3</v>
      </c>
      <c r="B4" t="s">
        <v>522</v>
      </c>
      <c r="C4" t="s">
        <v>207</v>
      </c>
      <c r="D4" t="s">
        <v>505</v>
      </c>
      <c r="J4">
        <v>2</v>
      </c>
      <c r="K4" s="2" t="s">
        <v>69</v>
      </c>
      <c r="L4" t="s">
        <v>258</v>
      </c>
      <c r="M4">
        <v>4</v>
      </c>
      <c r="N4">
        <f t="shared" si="0"/>
        <v>2</v>
      </c>
      <c r="O4" s="3" t="s">
        <v>71</v>
      </c>
    </row>
    <row r="5" spans="1:17" ht="14.5" customHeight="1">
      <c r="A5">
        <v>4</v>
      </c>
      <c r="B5" t="s">
        <v>522</v>
      </c>
      <c r="C5" t="s">
        <v>208</v>
      </c>
      <c r="D5" t="s">
        <v>506</v>
      </c>
      <c r="J5">
        <v>2</v>
      </c>
      <c r="K5" s="2" t="s">
        <v>69</v>
      </c>
      <c r="L5" t="s">
        <v>258</v>
      </c>
      <c r="M5">
        <v>4</v>
      </c>
      <c r="N5">
        <f t="shared" si="0"/>
        <v>2</v>
      </c>
      <c r="O5" s="3" t="s">
        <v>72</v>
      </c>
    </row>
    <row r="6" spans="1:17" ht="14.5" customHeight="1">
      <c r="A6">
        <v>5</v>
      </c>
      <c r="B6" t="s">
        <v>522</v>
      </c>
      <c r="C6" t="s">
        <v>209</v>
      </c>
      <c r="D6" t="s">
        <v>496</v>
      </c>
      <c r="J6">
        <v>2</v>
      </c>
      <c r="K6" s="2" t="s">
        <v>69</v>
      </c>
      <c r="L6" t="s">
        <v>258</v>
      </c>
      <c r="M6">
        <v>4</v>
      </c>
      <c r="N6">
        <f t="shared" si="0"/>
        <v>2</v>
      </c>
      <c r="O6" s="3" t="s">
        <v>73</v>
      </c>
    </row>
    <row r="7" spans="1:17" ht="14.5" customHeight="1">
      <c r="A7">
        <v>6</v>
      </c>
      <c r="B7" t="s">
        <v>522</v>
      </c>
      <c r="C7" t="s">
        <v>151</v>
      </c>
      <c r="D7" t="s">
        <v>507</v>
      </c>
      <c r="J7">
        <v>1</v>
      </c>
      <c r="K7" s="2" t="s">
        <v>69</v>
      </c>
      <c r="L7" t="s">
        <v>258</v>
      </c>
      <c r="M7">
        <v>4</v>
      </c>
      <c r="N7">
        <f t="shared" si="0"/>
        <v>3</v>
      </c>
      <c r="O7" s="3" t="s">
        <v>74</v>
      </c>
    </row>
    <row r="8" spans="1:17" ht="14.5" customHeight="1">
      <c r="A8">
        <v>7</v>
      </c>
      <c r="B8" t="s">
        <v>522</v>
      </c>
      <c r="C8" t="s">
        <v>210</v>
      </c>
      <c r="D8" t="s">
        <v>494</v>
      </c>
      <c r="J8">
        <v>1</v>
      </c>
      <c r="K8" s="2" t="s">
        <v>69</v>
      </c>
      <c r="L8" t="s">
        <v>258</v>
      </c>
      <c r="M8">
        <v>4</v>
      </c>
      <c r="N8">
        <f t="shared" si="0"/>
        <v>3</v>
      </c>
      <c r="O8" s="3" t="s">
        <v>75</v>
      </c>
    </row>
    <row r="9" spans="1:17" ht="14.5" customHeight="1">
      <c r="A9">
        <v>8</v>
      </c>
      <c r="B9" t="s">
        <v>522</v>
      </c>
      <c r="C9" t="s">
        <v>211</v>
      </c>
      <c r="D9" t="s">
        <v>495</v>
      </c>
      <c r="J9">
        <v>1</v>
      </c>
      <c r="K9" s="2" t="s">
        <v>69</v>
      </c>
      <c r="L9" t="s">
        <v>258</v>
      </c>
      <c r="M9">
        <v>4</v>
      </c>
      <c r="N9">
        <f t="shared" si="0"/>
        <v>3</v>
      </c>
      <c r="O9" s="3" t="s">
        <v>76</v>
      </c>
    </row>
    <row r="10" spans="1:17" ht="14.5" customHeight="1">
      <c r="A10">
        <v>9</v>
      </c>
      <c r="B10" t="s">
        <v>522</v>
      </c>
      <c r="C10" t="s">
        <v>212</v>
      </c>
      <c r="D10" t="s">
        <v>77</v>
      </c>
      <c r="J10">
        <v>8</v>
      </c>
      <c r="K10" s="2" t="s">
        <v>78</v>
      </c>
      <c r="L10" t="s">
        <v>258</v>
      </c>
      <c r="M10">
        <v>16</v>
      </c>
      <c r="N10">
        <f t="shared" si="0"/>
        <v>8</v>
      </c>
      <c r="O10" s="3">
        <v>47</v>
      </c>
    </row>
    <row r="11" spans="1:17" ht="14.5" customHeight="1">
      <c r="A11">
        <v>10</v>
      </c>
      <c r="B11" t="s">
        <v>522</v>
      </c>
      <c r="C11" t="s">
        <v>213</v>
      </c>
      <c r="D11" t="s">
        <v>79</v>
      </c>
      <c r="E11" t="s">
        <v>508</v>
      </c>
      <c r="J11">
        <v>3</v>
      </c>
      <c r="K11" s="2" t="s">
        <v>78</v>
      </c>
      <c r="L11" t="s">
        <v>258</v>
      </c>
      <c r="M11">
        <v>6</v>
      </c>
      <c r="N11">
        <f t="shared" si="0"/>
        <v>3</v>
      </c>
      <c r="O11" s="3">
        <v>100</v>
      </c>
    </row>
    <row r="12" spans="1:17" ht="14.5" customHeight="1">
      <c r="A12">
        <v>11</v>
      </c>
      <c r="B12" t="s">
        <v>522</v>
      </c>
      <c r="C12" t="s">
        <v>214</v>
      </c>
      <c r="D12" t="s">
        <v>80</v>
      </c>
      <c r="J12">
        <v>2</v>
      </c>
      <c r="K12" s="2" t="s">
        <v>78</v>
      </c>
      <c r="L12" t="s">
        <v>258</v>
      </c>
      <c r="M12">
        <v>4</v>
      </c>
      <c r="N12">
        <f t="shared" si="0"/>
        <v>2</v>
      </c>
      <c r="O12" s="3" t="s">
        <v>81</v>
      </c>
    </row>
    <row r="13" spans="1:17" ht="14.5" customHeight="1">
      <c r="A13">
        <v>12</v>
      </c>
      <c r="B13" t="s">
        <v>522</v>
      </c>
      <c r="C13" t="s">
        <v>160</v>
      </c>
      <c r="D13" t="s">
        <v>82</v>
      </c>
      <c r="J13">
        <v>2</v>
      </c>
      <c r="K13" s="2" t="s">
        <v>78</v>
      </c>
      <c r="L13" t="s">
        <v>258</v>
      </c>
      <c r="M13">
        <v>4</v>
      </c>
      <c r="N13">
        <f t="shared" si="0"/>
        <v>2</v>
      </c>
      <c r="O13" s="3">
        <v>300</v>
      </c>
    </row>
    <row r="14" spans="1:17" ht="14.5" customHeight="1">
      <c r="A14">
        <v>13</v>
      </c>
      <c r="B14" t="s">
        <v>522</v>
      </c>
      <c r="C14" t="s">
        <v>215</v>
      </c>
      <c r="D14" t="s">
        <v>83</v>
      </c>
      <c r="J14">
        <v>2</v>
      </c>
      <c r="K14" s="2" t="s">
        <v>78</v>
      </c>
      <c r="L14" t="s">
        <v>258</v>
      </c>
      <c r="M14">
        <v>4</v>
      </c>
      <c r="N14">
        <f t="shared" si="0"/>
        <v>2</v>
      </c>
      <c r="O14" s="3">
        <v>51</v>
      </c>
    </row>
    <row r="15" spans="1:17" ht="14.5" customHeight="1">
      <c r="A15">
        <v>14</v>
      </c>
      <c r="B15" t="s">
        <v>522</v>
      </c>
      <c r="C15" t="s">
        <v>216</v>
      </c>
      <c r="D15" t="s">
        <v>84</v>
      </c>
      <c r="J15">
        <v>2</v>
      </c>
      <c r="K15" s="2" t="s">
        <v>78</v>
      </c>
      <c r="L15" t="s">
        <v>258</v>
      </c>
      <c r="M15">
        <v>4</v>
      </c>
      <c r="N15">
        <f t="shared" si="0"/>
        <v>2</v>
      </c>
      <c r="O15" s="3" t="s">
        <v>87</v>
      </c>
    </row>
    <row r="16" spans="1:17" ht="14.5" customHeight="1">
      <c r="A16">
        <v>15</v>
      </c>
      <c r="B16" t="s">
        <v>522</v>
      </c>
      <c r="C16" t="s">
        <v>217</v>
      </c>
      <c r="D16" t="s">
        <v>85</v>
      </c>
      <c r="J16">
        <v>1</v>
      </c>
      <c r="K16" s="2" t="s">
        <v>78</v>
      </c>
      <c r="L16" t="s">
        <v>258</v>
      </c>
      <c r="M16">
        <v>4</v>
      </c>
      <c r="N16">
        <f t="shared" si="0"/>
        <v>3</v>
      </c>
      <c r="O16" s="3" t="s">
        <v>86</v>
      </c>
    </row>
    <row r="17" spans="1:18" ht="14.5" customHeight="1">
      <c r="A17">
        <v>16</v>
      </c>
      <c r="B17" t="s">
        <v>522</v>
      </c>
      <c r="C17" t="s">
        <v>218</v>
      </c>
      <c r="D17" t="s">
        <v>263</v>
      </c>
      <c r="E17" t="s">
        <v>498</v>
      </c>
      <c r="F17" t="s">
        <v>261</v>
      </c>
      <c r="G17" t="s">
        <v>262</v>
      </c>
      <c r="H17" t="s">
        <v>93</v>
      </c>
      <c r="I17" t="s">
        <v>264</v>
      </c>
      <c r="J17">
        <v>2</v>
      </c>
      <c r="K17" s="2" t="s">
        <v>88</v>
      </c>
      <c r="L17" t="s">
        <v>20</v>
      </c>
      <c r="M17">
        <v>4</v>
      </c>
      <c r="N17">
        <f t="shared" si="0"/>
        <v>2</v>
      </c>
      <c r="O17" s="3" t="s">
        <v>96</v>
      </c>
    </row>
    <row r="18" spans="1:18" ht="14.5" customHeight="1">
      <c r="A18">
        <v>17</v>
      </c>
      <c r="B18" t="s">
        <v>522</v>
      </c>
      <c r="C18" t="s">
        <v>163</v>
      </c>
      <c r="D18" t="s">
        <v>89</v>
      </c>
      <c r="E18" t="s">
        <v>498</v>
      </c>
      <c r="F18" s="5" t="s">
        <v>90</v>
      </c>
      <c r="G18" t="s">
        <v>92</v>
      </c>
      <c r="H18" t="s">
        <v>93</v>
      </c>
      <c r="I18" t="s">
        <v>94</v>
      </c>
      <c r="J18">
        <v>1</v>
      </c>
      <c r="K18" s="2" t="s">
        <v>95</v>
      </c>
      <c r="L18" t="s">
        <v>20</v>
      </c>
      <c r="M18">
        <v>4</v>
      </c>
      <c r="N18">
        <f t="shared" si="0"/>
        <v>3</v>
      </c>
      <c r="O18" s="3" t="s">
        <v>91</v>
      </c>
    </row>
    <row r="19" spans="1:18" ht="14.5" customHeight="1">
      <c r="A19">
        <v>18</v>
      </c>
      <c r="B19" t="s">
        <v>522</v>
      </c>
      <c r="C19" t="s">
        <v>219</v>
      </c>
      <c r="D19" t="s">
        <v>285</v>
      </c>
      <c r="E19" t="s">
        <v>498</v>
      </c>
      <c r="F19" t="s">
        <v>261</v>
      </c>
      <c r="G19" t="s">
        <v>260</v>
      </c>
      <c r="H19" t="s">
        <v>93</v>
      </c>
      <c r="I19" t="s">
        <v>259</v>
      </c>
      <c r="J19">
        <v>1</v>
      </c>
      <c r="K19" s="2" t="s">
        <v>88</v>
      </c>
      <c r="L19" t="s">
        <v>20</v>
      </c>
      <c r="M19">
        <v>3</v>
      </c>
      <c r="N19">
        <f t="shared" si="0"/>
        <v>2</v>
      </c>
      <c r="O19" s="3" t="s">
        <v>97</v>
      </c>
    </row>
    <row r="20" spans="1:18" ht="14.5" customHeight="1">
      <c r="A20">
        <v>19</v>
      </c>
      <c r="B20" t="s">
        <v>522</v>
      </c>
      <c r="C20" t="s">
        <v>220</v>
      </c>
      <c r="D20" t="s">
        <v>270</v>
      </c>
      <c r="E20" t="s">
        <v>498</v>
      </c>
      <c r="F20" t="s">
        <v>298</v>
      </c>
      <c r="G20" t="s">
        <v>297</v>
      </c>
      <c r="H20" t="s">
        <v>93</v>
      </c>
      <c r="I20" t="s">
        <v>296</v>
      </c>
      <c r="J20">
        <v>1</v>
      </c>
      <c r="K20" s="2" t="s">
        <v>98</v>
      </c>
      <c r="L20" t="s">
        <v>20</v>
      </c>
      <c r="M20">
        <v>2</v>
      </c>
      <c r="N20">
        <f>M20-J20</f>
        <v>1</v>
      </c>
      <c r="O20" s="3" t="s">
        <v>339</v>
      </c>
    </row>
    <row r="21" spans="1:18" ht="14.5" customHeight="1">
      <c r="A21">
        <v>20</v>
      </c>
      <c r="B21" t="s">
        <v>522</v>
      </c>
      <c r="C21" t="s">
        <v>221</v>
      </c>
      <c r="D21" t="s">
        <v>271</v>
      </c>
      <c r="E21" t="s">
        <v>498</v>
      </c>
      <c r="F21" t="s">
        <v>291</v>
      </c>
      <c r="G21" t="s">
        <v>289</v>
      </c>
      <c r="H21" t="s">
        <v>93</v>
      </c>
      <c r="I21" t="s">
        <v>290</v>
      </c>
      <c r="J21">
        <v>1</v>
      </c>
      <c r="K21" s="2" t="s">
        <v>98</v>
      </c>
      <c r="L21" t="s">
        <v>20</v>
      </c>
      <c r="M21">
        <v>2</v>
      </c>
      <c r="N21">
        <f t="shared" ref="N21:N38" si="1">M21-J21</f>
        <v>1</v>
      </c>
      <c r="O21" s="3" t="s">
        <v>99</v>
      </c>
    </row>
    <row r="22" spans="1:18" ht="14.5" customHeight="1">
      <c r="A22">
        <v>21</v>
      </c>
      <c r="B22" t="s">
        <v>522</v>
      </c>
      <c r="C22" t="s">
        <v>222</v>
      </c>
      <c r="D22" t="s">
        <v>272</v>
      </c>
      <c r="E22" t="s">
        <v>498</v>
      </c>
      <c r="F22" t="s">
        <v>265</v>
      </c>
      <c r="G22" t="s">
        <v>266</v>
      </c>
      <c r="H22" t="s">
        <v>93</v>
      </c>
      <c r="I22" t="s">
        <v>267</v>
      </c>
      <c r="J22">
        <v>1</v>
      </c>
      <c r="K22" s="2" t="s">
        <v>98</v>
      </c>
      <c r="L22" t="s">
        <v>20</v>
      </c>
      <c r="M22">
        <v>2</v>
      </c>
      <c r="N22">
        <f t="shared" si="1"/>
        <v>1</v>
      </c>
      <c r="O22" s="3" t="s">
        <v>100</v>
      </c>
      <c r="R22" s="13"/>
    </row>
    <row r="23" spans="1:18" ht="14.5" customHeight="1">
      <c r="A23">
        <v>22</v>
      </c>
      <c r="B23" t="s">
        <v>522</v>
      </c>
      <c r="C23" t="s">
        <v>223</v>
      </c>
      <c r="D23" t="s">
        <v>273</v>
      </c>
      <c r="E23" t="s">
        <v>498</v>
      </c>
      <c r="F23" t="s">
        <v>265</v>
      </c>
      <c r="G23" t="s">
        <v>276</v>
      </c>
      <c r="H23" t="s">
        <v>93</v>
      </c>
      <c r="I23" t="s">
        <v>277</v>
      </c>
      <c r="J23">
        <v>1</v>
      </c>
      <c r="K23" s="2" t="s">
        <v>98</v>
      </c>
      <c r="L23" t="s">
        <v>20</v>
      </c>
      <c r="M23">
        <v>2</v>
      </c>
      <c r="N23">
        <f t="shared" si="1"/>
        <v>1</v>
      </c>
      <c r="O23" s="3" t="s">
        <v>101</v>
      </c>
    </row>
    <row r="24" spans="1:18" ht="14.5" customHeight="1">
      <c r="A24">
        <v>23</v>
      </c>
      <c r="B24" t="s">
        <v>522</v>
      </c>
      <c r="C24" t="s">
        <v>224</v>
      </c>
      <c r="D24" t="s">
        <v>274</v>
      </c>
      <c r="E24" t="s">
        <v>498</v>
      </c>
      <c r="F24" t="s">
        <v>265</v>
      </c>
      <c r="G24" t="s">
        <v>269</v>
      </c>
      <c r="H24" t="s">
        <v>93</v>
      </c>
      <c r="I24" t="s">
        <v>268</v>
      </c>
      <c r="J24">
        <v>1</v>
      </c>
      <c r="K24" s="2" t="s">
        <v>98</v>
      </c>
      <c r="L24" t="s">
        <v>20</v>
      </c>
      <c r="M24">
        <v>2</v>
      </c>
      <c r="N24">
        <f t="shared" si="1"/>
        <v>1</v>
      </c>
      <c r="O24" s="3" t="s">
        <v>102</v>
      </c>
    </row>
    <row r="25" spans="1:18" ht="14.5" customHeight="1">
      <c r="A25">
        <v>24</v>
      </c>
      <c r="B25" t="s">
        <v>522</v>
      </c>
      <c r="C25" t="s">
        <v>225</v>
      </c>
      <c r="D25" t="s">
        <v>275</v>
      </c>
      <c r="E25" t="s">
        <v>498</v>
      </c>
      <c r="F25" t="s">
        <v>265</v>
      </c>
      <c r="G25" t="s">
        <v>282</v>
      </c>
      <c r="H25" t="s">
        <v>93</v>
      </c>
      <c r="I25" t="s">
        <v>278</v>
      </c>
      <c r="J25">
        <v>1</v>
      </c>
      <c r="K25" s="2" t="s">
        <v>98</v>
      </c>
      <c r="L25" t="s">
        <v>20</v>
      </c>
      <c r="M25">
        <v>2</v>
      </c>
      <c r="N25">
        <f t="shared" si="1"/>
        <v>1</v>
      </c>
      <c r="O25" s="3" t="s">
        <v>103</v>
      </c>
    </row>
    <row r="26" spans="1:18" ht="14.5" customHeight="1">
      <c r="A26">
        <v>25</v>
      </c>
      <c r="B26" t="s">
        <v>522</v>
      </c>
      <c r="C26" t="s">
        <v>226</v>
      </c>
      <c r="D26" t="s">
        <v>287</v>
      </c>
      <c r="E26" t="s">
        <v>286</v>
      </c>
      <c r="F26" t="s">
        <v>265</v>
      </c>
      <c r="G26" t="s">
        <v>283</v>
      </c>
      <c r="H26" t="s">
        <v>93</v>
      </c>
      <c r="I26" t="s">
        <v>279</v>
      </c>
      <c r="J26">
        <v>1</v>
      </c>
      <c r="K26" s="2" t="s">
        <v>98</v>
      </c>
      <c r="L26" t="s">
        <v>20</v>
      </c>
      <c r="M26">
        <v>2</v>
      </c>
      <c r="N26">
        <f t="shared" si="1"/>
        <v>1</v>
      </c>
      <c r="O26" s="3" t="s">
        <v>104</v>
      </c>
    </row>
    <row r="27" spans="1:18" ht="14.5" customHeight="1">
      <c r="A27">
        <v>26</v>
      </c>
      <c r="B27" t="s">
        <v>522</v>
      </c>
      <c r="C27" t="s">
        <v>227</v>
      </c>
      <c r="D27" t="s">
        <v>288</v>
      </c>
      <c r="E27" t="s">
        <v>286</v>
      </c>
      <c r="F27" t="s">
        <v>265</v>
      </c>
      <c r="G27" t="s">
        <v>281</v>
      </c>
      <c r="H27" t="s">
        <v>93</v>
      </c>
      <c r="I27" t="s">
        <v>280</v>
      </c>
      <c r="J27">
        <v>1</v>
      </c>
      <c r="K27" s="2" t="s">
        <v>98</v>
      </c>
      <c r="L27" t="s">
        <v>20</v>
      </c>
      <c r="M27">
        <v>0</v>
      </c>
      <c r="N27">
        <f t="shared" si="1"/>
        <v>-1</v>
      </c>
      <c r="O27" s="3" t="s">
        <v>105</v>
      </c>
    </row>
    <row r="28" spans="1:18" ht="14.5" customHeight="1">
      <c r="A28">
        <v>28</v>
      </c>
      <c r="B28" t="s">
        <v>522</v>
      </c>
      <c r="C28" t="s">
        <v>31</v>
      </c>
      <c r="D28" t="s">
        <v>110</v>
      </c>
      <c r="E28" t="s">
        <v>511</v>
      </c>
      <c r="F28" t="s">
        <v>109</v>
      </c>
      <c r="G28" s="6" t="s">
        <v>107</v>
      </c>
      <c r="H28" t="s">
        <v>93</v>
      </c>
      <c r="I28" t="s">
        <v>111</v>
      </c>
      <c r="J28">
        <v>1</v>
      </c>
      <c r="K28" s="2" t="s">
        <v>108</v>
      </c>
      <c r="L28" t="s">
        <v>20</v>
      </c>
      <c r="M28">
        <v>3</v>
      </c>
      <c r="N28">
        <f t="shared" si="1"/>
        <v>2</v>
      </c>
      <c r="O28" s="3" t="s">
        <v>112</v>
      </c>
      <c r="P28" s="19">
        <v>3.15</v>
      </c>
    </row>
    <row r="29" spans="1:18" ht="14.5" customHeight="1">
      <c r="A29">
        <v>29</v>
      </c>
      <c r="B29" t="s">
        <v>522</v>
      </c>
      <c r="C29" t="s">
        <v>195</v>
      </c>
      <c r="D29" t="s">
        <v>117</v>
      </c>
      <c r="E29" t="s">
        <v>498</v>
      </c>
      <c r="F29" t="s">
        <v>116</v>
      </c>
      <c r="G29" s="6" t="s">
        <v>113</v>
      </c>
      <c r="H29" t="s">
        <v>93</v>
      </c>
      <c r="I29" t="s">
        <v>115</v>
      </c>
      <c r="J29">
        <v>1</v>
      </c>
      <c r="K29" s="2" t="s">
        <v>114</v>
      </c>
      <c r="L29" t="s">
        <v>20</v>
      </c>
      <c r="M29">
        <v>3</v>
      </c>
      <c r="N29">
        <f t="shared" si="1"/>
        <v>2</v>
      </c>
      <c r="P29" s="19">
        <v>1.62</v>
      </c>
    </row>
    <row r="30" spans="1:18" ht="14.5" customHeight="1">
      <c r="A30">
        <v>30</v>
      </c>
      <c r="B30" t="s">
        <v>522</v>
      </c>
      <c r="C30" t="s">
        <v>200</v>
      </c>
      <c r="D30" t="s">
        <v>236</v>
      </c>
      <c r="E30" t="s">
        <v>498</v>
      </c>
      <c r="F30" t="s">
        <v>121</v>
      </c>
      <c r="G30" s="6" t="s">
        <v>118</v>
      </c>
      <c r="H30" t="s">
        <v>93</v>
      </c>
      <c r="I30" t="s">
        <v>120</v>
      </c>
      <c r="J30">
        <v>1</v>
      </c>
      <c r="K30" s="2" t="s">
        <v>119</v>
      </c>
      <c r="L30" t="s">
        <v>20</v>
      </c>
      <c r="M30">
        <v>3</v>
      </c>
      <c r="N30">
        <f t="shared" si="1"/>
        <v>2</v>
      </c>
      <c r="P30" s="19">
        <v>0.27</v>
      </c>
    </row>
    <row r="31" spans="1:18" ht="14.5" customHeight="1">
      <c r="A31">
        <v>31</v>
      </c>
      <c r="B31" t="s">
        <v>522</v>
      </c>
      <c r="C31" t="s">
        <v>228</v>
      </c>
      <c r="D31" t="s">
        <v>123</v>
      </c>
      <c r="E31" t="s">
        <v>512</v>
      </c>
      <c r="F31" t="s">
        <v>109</v>
      </c>
      <c r="G31" s="6" t="s">
        <v>122</v>
      </c>
      <c r="H31" t="s">
        <v>93</v>
      </c>
      <c r="I31" t="s">
        <v>125</v>
      </c>
      <c r="J31">
        <v>1</v>
      </c>
      <c r="K31" s="2" t="s">
        <v>126</v>
      </c>
      <c r="L31" t="s">
        <v>20</v>
      </c>
      <c r="M31">
        <v>3</v>
      </c>
      <c r="N31">
        <f t="shared" si="1"/>
        <v>2</v>
      </c>
      <c r="O31" s="3" t="s">
        <v>124</v>
      </c>
    </row>
    <row r="32" spans="1:18" ht="14.5" customHeight="1">
      <c r="A32">
        <v>32</v>
      </c>
      <c r="B32" t="s">
        <v>522</v>
      </c>
      <c r="C32" t="s">
        <v>229</v>
      </c>
      <c r="D32" t="s">
        <v>243</v>
      </c>
      <c r="F32" t="s">
        <v>242</v>
      </c>
      <c r="G32" s="6" t="s">
        <v>245</v>
      </c>
      <c r="H32" t="s">
        <v>93</v>
      </c>
      <c r="I32" t="s">
        <v>246</v>
      </c>
      <c r="J32">
        <v>1</v>
      </c>
      <c r="K32" s="2" t="s">
        <v>127</v>
      </c>
      <c r="L32" t="s">
        <v>20</v>
      </c>
      <c r="M32">
        <v>2</v>
      </c>
      <c r="N32">
        <f t="shared" si="1"/>
        <v>1</v>
      </c>
    </row>
    <row r="33" spans="1:16" ht="14.5" customHeight="1">
      <c r="A33">
        <v>33</v>
      </c>
      <c r="B33" t="s">
        <v>522</v>
      </c>
      <c r="C33" t="s">
        <v>230</v>
      </c>
      <c r="D33" t="s">
        <v>244</v>
      </c>
      <c r="F33" t="s">
        <v>242</v>
      </c>
      <c r="G33" s="6" t="s">
        <v>245</v>
      </c>
      <c r="H33" t="s">
        <v>93</v>
      </c>
      <c r="I33" t="s">
        <v>246</v>
      </c>
      <c r="J33">
        <v>1</v>
      </c>
      <c r="K33" s="2" t="s">
        <v>127</v>
      </c>
      <c r="L33" t="s">
        <v>20</v>
      </c>
      <c r="M33">
        <v>2</v>
      </c>
      <c r="N33">
        <f t="shared" si="1"/>
        <v>1</v>
      </c>
    </row>
    <row r="34" spans="1:16" ht="14.5" customHeight="1">
      <c r="A34">
        <v>34</v>
      </c>
      <c r="B34" t="s">
        <v>522</v>
      </c>
      <c r="C34" t="s">
        <v>231</v>
      </c>
      <c r="D34" t="s">
        <v>247</v>
      </c>
      <c r="E34" t="s">
        <v>254</v>
      </c>
      <c r="F34" t="s">
        <v>510</v>
      </c>
      <c r="G34" s="6" t="s">
        <v>128</v>
      </c>
      <c r="J34">
        <v>1</v>
      </c>
      <c r="L34" t="s">
        <v>258</v>
      </c>
      <c r="M34">
        <v>1</v>
      </c>
      <c r="N34">
        <f t="shared" si="1"/>
        <v>0</v>
      </c>
    </row>
    <row r="35" spans="1:16" ht="14.5" customHeight="1">
      <c r="A35">
        <v>35</v>
      </c>
      <c r="B35" t="s">
        <v>522</v>
      </c>
      <c r="C35" t="s">
        <v>232</v>
      </c>
      <c r="D35" t="s">
        <v>129</v>
      </c>
      <c r="H35" t="s">
        <v>93</v>
      </c>
      <c r="J35">
        <v>1</v>
      </c>
      <c r="L35" t="s">
        <v>20</v>
      </c>
      <c r="M35">
        <v>4</v>
      </c>
      <c r="N35">
        <f t="shared" si="1"/>
        <v>3</v>
      </c>
    </row>
    <row r="36" spans="1:16" ht="14.5" customHeight="1">
      <c r="A36">
        <v>36</v>
      </c>
      <c r="B36" t="s">
        <v>522</v>
      </c>
      <c r="C36" t="s">
        <v>233</v>
      </c>
      <c r="D36" t="s">
        <v>294</v>
      </c>
      <c r="E36" t="s">
        <v>292</v>
      </c>
      <c r="F36" t="s">
        <v>248</v>
      </c>
      <c r="G36" t="s">
        <v>249</v>
      </c>
      <c r="H36" t="s">
        <v>93</v>
      </c>
      <c r="I36" t="s">
        <v>250</v>
      </c>
      <c r="J36">
        <v>3</v>
      </c>
      <c r="L36" t="s">
        <v>258</v>
      </c>
      <c r="M36">
        <v>5</v>
      </c>
      <c r="N36">
        <f t="shared" si="1"/>
        <v>2</v>
      </c>
    </row>
    <row r="37" spans="1:16" ht="14.5" customHeight="1">
      <c r="A37">
        <v>37</v>
      </c>
      <c r="B37" t="s">
        <v>522</v>
      </c>
      <c r="C37" t="s">
        <v>234</v>
      </c>
      <c r="D37" t="s">
        <v>295</v>
      </c>
      <c r="E37" t="s">
        <v>293</v>
      </c>
      <c r="F37" t="s">
        <v>251</v>
      </c>
      <c r="G37" t="s">
        <v>252</v>
      </c>
      <c r="H37" t="s">
        <v>93</v>
      </c>
      <c r="I37" t="s">
        <v>253</v>
      </c>
      <c r="J37">
        <v>1</v>
      </c>
      <c r="L37" t="s">
        <v>258</v>
      </c>
      <c r="M37">
        <v>5</v>
      </c>
      <c r="N37">
        <f t="shared" si="1"/>
        <v>4</v>
      </c>
    </row>
    <row r="38" spans="1:16" ht="14.5" customHeight="1">
      <c r="A38">
        <v>38</v>
      </c>
      <c r="B38" t="s">
        <v>522</v>
      </c>
      <c r="C38" t="s">
        <v>235</v>
      </c>
      <c r="D38" t="s">
        <v>237</v>
      </c>
      <c r="F38" t="s">
        <v>238</v>
      </c>
      <c r="G38" s="6" t="s">
        <v>239</v>
      </c>
      <c r="H38" t="s">
        <v>93</v>
      </c>
      <c r="I38" t="s">
        <v>240</v>
      </c>
      <c r="J38">
        <v>1</v>
      </c>
      <c r="K38" s="12" t="s">
        <v>241</v>
      </c>
      <c r="L38" t="s">
        <v>20</v>
      </c>
      <c r="M38">
        <v>4</v>
      </c>
      <c r="N38">
        <f t="shared" si="1"/>
        <v>3</v>
      </c>
    </row>
    <row r="39" spans="1:16" ht="14.5" customHeight="1"/>
    <row r="40" spans="1:16" ht="14.5" customHeight="1">
      <c r="D40" s="8"/>
      <c r="E40" s="8"/>
    </row>
    <row r="41" spans="1:16" ht="14.5" customHeight="1">
      <c r="G41" s="6"/>
      <c r="K41" s="12"/>
    </row>
    <row r="42" spans="1:16" ht="14.5" customHeight="1"/>
    <row r="44" spans="1:16">
      <c r="O44"/>
      <c r="P44" s="3"/>
    </row>
    <row r="75" spans="1:1">
      <c r="A75" s="1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DC8F-B47A-4E9D-A1EA-70AC5B566812}">
  <dimension ref="A1:P83"/>
  <sheetViews>
    <sheetView zoomScale="78" workbookViewId="0">
      <selection activeCell="M18" sqref="M18"/>
    </sheetView>
  </sheetViews>
  <sheetFormatPr defaultRowHeight="14.5"/>
  <cols>
    <col min="1" max="1" width="7" customWidth="1"/>
    <col min="2" max="2" width="25" customWidth="1"/>
    <col min="3" max="3" width="14" customWidth="1"/>
    <col min="4" max="4" width="28.453125" customWidth="1"/>
    <col min="5" max="5" width="17" bestFit="1" customWidth="1"/>
    <col min="6" max="6" width="32" customWidth="1"/>
    <col min="7" max="7" width="19" customWidth="1"/>
    <col min="8" max="8" width="21" customWidth="1"/>
    <col min="9" max="9" width="23" customWidth="1"/>
    <col min="10" max="10" width="7.54296875" customWidth="1"/>
    <col min="11" max="11" width="10.26953125" style="3" customWidth="1"/>
    <col min="12" max="12" width="8" bestFit="1" customWidth="1"/>
    <col min="13" max="13" width="17" customWidth="1"/>
    <col min="14" max="15" width="18" customWidth="1"/>
    <col min="16" max="16" width="20" customWidth="1"/>
  </cols>
  <sheetData>
    <row r="1" spans="1:12" s="10" customFormat="1" ht="18.5">
      <c r="A1" s="10" t="s">
        <v>130</v>
      </c>
      <c r="B1" s="10" t="s">
        <v>131</v>
      </c>
      <c r="C1" s="10" t="s">
        <v>132</v>
      </c>
      <c r="D1" s="10" t="s">
        <v>68</v>
      </c>
      <c r="E1" s="10" t="s">
        <v>133</v>
      </c>
      <c r="F1" s="10" t="s">
        <v>134</v>
      </c>
      <c r="G1" s="10" t="s">
        <v>2</v>
      </c>
      <c r="H1" s="10" t="s">
        <v>135</v>
      </c>
      <c r="I1" s="10" t="s">
        <v>136</v>
      </c>
      <c r="J1" s="10" t="s">
        <v>337</v>
      </c>
      <c r="K1" s="10" t="s">
        <v>338</v>
      </c>
      <c r="L1" s="11" t="s">
        <v>137</v>
      </c>
    </row>
    <row r="2" spans="1:12">
      <c r="A2">
        <v>1</v>
      </c>
      <c r="B2" t="s">
        <v>340</v>
      </c>
      <c r="E2">
        <v>1</v>
      </c>
      <c r="J2">
        <v>5</v>
      </c>
      <c r="K2">
        <f>J2-E2</f>
        <v>4</v>
      </c>
    </row>
    <row r="3" spans="1:12">
      <c r="A3">
        <v>2</v>
      </c>
      <c r="B3" t="s">
        <v>138</v>
      </c>
      <c r="C3" t="s">
        <v>139</v>
      </c>
      <c r="D3" t="s">
        <v>140</v>
      </c>
      <c r="E3">
        <v>1</v>
      </c>
      <c r="F3" t="s">
        <v>138</v>
      </c>
      <c r="G3" t="s">
        <v>141</v>
      </c>
      <c r="H3" t="s">
        <v>142</v>
      </c>
      <c r="I3" t="s">
        <v>143</v>
      </c>
      <c r="J3">
        <v>3</v>
      </c>
      <c r="K3">
        <f>J3-E3</f>
        <v>2</v>
      </c>
      <c r="L3">
        <v>1.1539999999999999</v>
      </c>
    </row>
    <row r="4" spans="1:12">
      <c r="A4">
        <v>3</v>
      </c>
      <c r="B4" t="s">
        <v>144</v>
      </c>
      <c r="C4" t="s">
        <v>145</v>
      </c>
      <c r="D4" t="s">
        <v>146</v>
      </c>
      <c r="E4">
        <v>4</v>
      </c>
      <c r="F4" t="s">
        <v>147</v>
      </c>
      <c r="G4" t="s">
        <v>148</v>
      </c>
      <c r="H4" t="s">
        <v>142</v>
      </c>
      <c r="I4" t="s">
        <v>149</v>
      </c>
      <c r="J4">
        <v>0</v>
      </c>
      <c r="K4">
        <f>J4-E4</f>
        <v>-4</v>
      </c>
      <c r="L4">
        <v>4.0000000000000001E-3</v>
      </c>
    </row>
    <row r="5" spans="1:12">
      <c r="A5">
        <v>4</v>
      </c>
      <c r="B5" t="s">
        <v>71</v>
      </c>
      <c r="C5" t="s">
        <v>150</v>
      </c>
      <c r="D5" t="s">
        <v>146</v>
      </c>
      <c r="E5">
        <v>2</v>
      </c>
      <c r="F5" t="s">
        <v>147</v>
      </c>
      <c r="G5" t="s">
        <v>148</v>
      </c>
      <c r="H5" t="s">
        <v>142</v>
      </c>
      <c r="I5" t="s">
        <v>149</v>
      </c>
      <c r="J5">
        <v>0</v>
      </c>
      <c r="K5">
        <f>J5-E5</f>
        <v>-2</v>
      </c>
      <c r="L5">
        <v>4.0000000000000001E-3</v>
      </c>
    </row>
    <row r="6" spans="1:12">
      <c r="A6">
        <v>5</v>
      </c>
      <c r="B6" t="s">
        <v>74</v>
      </c>
      <c r="C6" t="s">
        <v>151</v>
      </c>
      <c r="D6" s="4" t="s">
        <v>146</v>
      </c>
      <c r="E6" s="5">
        <v>1</v>
      </c>
      <c r="F6" t="s">
        <v>147</v>
      </c>
      <c r="G6" t="s">
        <v>148</v>
      </c>
      <c r="H6" t="s">
        <v>142</v>
      </c>
      <c r="I6" t="s">
        <v>149</v>
      </c>
      <c r="J6">
        <v>0</v>
      </c>
      <c r="K6">
        <f>J6-E6</f>
        <v>-1</v>
      </c>
      <c r="L6">
        <v>4.0000000000000001E-3</v>
      </c>
    </row>
    <row r="7" spans="1:12">
      <c r="A7">
        <v>6</v>
      </c>
      <c r="B7" t="s">
        <v>72</v>
      </c>
      <c r="C7" t="s">
        <v>152</v>
      </c>
      <c r="D7" s="4" t="s">
        <v>146</v>
      </c>
      <c r="E7">
        <v>2</v>
      </c>
      <c r="F7" t="s">
        <v>147</v>
      </c>
      <c r="G7" t="s">
        <v>148</v>
      </c>
      <c r="H7" t="s">
        <v>142</v>
      </c>
      <c r="I7" t="s">
        <v>149</v>
      </c>
      <c r="J7">
        <v>0</v>
      </c>
      <c r="K7">
        <f>J7-E7</f>
        <v>-2</v>
      </c>
      <c r="L7">
        <v>4.0000000000000001E-3</v>
      </c>
    </row>
    <row r="8" spans="1:12">
      <c r="A8">
        <v>7</v>
      </c>
      <c r="B8" t="s">
        <v>75</v>
      </c>
      <c r="C8" t="s">
        <v>153</v>
      </c>
      <c r="D8" s="4" t="s">
        <v>146</v>
      </c>
      <c r="E8">
        <v>2</v>
      </c>
      <c r="F8" t="s">
        <v>147</v>
      </c>
      <c r="G8" t="s">
        <v>148</v>
      </c>
      <c r="H8" t="s">
        <v>142</v>
      </c>
      <c r="I8" t="s">
        <v>149</v>
      </c>
      <c r="J8">
        <v>0</v>
      </c>
      <c r="K8">
        <f>J8-E8</f>
        <v>-2</v>
      </c>
      <c r="L8">
        <v>4.0000000000000001E-3</v>
      </c>
    </row>
    <row r="9" spans="1:12">
      <c r="A9">
        <v>8</v>
      </c>
      <c r="B9" t="s">
        <v>73</v>
      </c>
      <c r="C9" t="s">
        <v>154</v>
      </c>
      <c r="D9" s="6" t="s">
        <v>146</v>
      </c>
      <c r="E9">
        <v>1</v>
      </c>
      <c r="F9" t="s">
        <v>147</v>
      </c>
      <c r="G9" t="s">
        <v>148</v>
      </c>
      <c r="H9" t="s">
        <v>142</v>
      </c>
      <c r="I9" t="s">
        <v>149</v>
      </c>
      <c r="J9">
        <v>0</v>
      </c>
      <c r="K9">
        <f>J9-E9</f>
        <v>-1</v>
      </c>
      <c r="L9">
        <v>4.0000000000000001E-3</v>
      </c>
    </row>
    <row r="10" spans="1:12">
      <c r="A10">
        <v>9</v>
      </c>
      <c r="B10" t="s">
        <v>155</v>
      </c>
      <c r="C10" t="s">
        <v>156</v>
      </c>
      <c r="D10" s="6" t="s">
        <v>146</v>
      </c>
      <c r="E10">
        <v>5</v>
      </c>
      <c r="F10" t="s">
        <v>157</v>
      </c>
      <c r="G10" t="s">
        <v>158</v>
      </c>
      <c r="H10" t="s">
        <v>142</v>
      </c>
      <c r="I10" t="s">
        <v>159</v>
      </c>
      <c r="J10">
        <v>0</v>
      </c>
      <c r="K10">
        <f>J10-E10</f>
        <v>-5</v>
      </c>
    </row>
    <row r="11" spans="1:12">
      <c r="A11">
        <v>10</v>
      </c>
      <c r="B11">
        <v>300</v>
      </c>
      <c r="C11" t="s">
        <v>160</v>
      </c>
      <c r="D11" s="4" t="s">
        <v>146</v>
      </c>
      <c r="E11">
        <v>2</v>
      </c>
      <c r="F11" t="s">
        <v>157</v>
      </c>
      <c r="G11" t="s">
        <v>158</v>
      </c>
      <c r="H11" t="s">
        <v>142</v>
      </c>
      <c r="I11" t="s">
        <v>159</v>
      </c>
      <c r="J11">
        <v>0</v>
      </c>
      <c r="K11">
        <f>J11-E11</f>
        <v>-2</v>
      </c>
    </row>
    <row r="12" spans="1:12">
      <c r="A12">
        <v>11</v>
      </c>
      <c r="B12">
        <v>51</v>
      </c>
      <c r="C12" t="s">
        <v>161</v>
      </c>
      <c r="D12" s="4" t="s">
        <v>146</v>
      </c>
      <c r="E12">
        <v>2</v>
      </c>
      <c r="F12" t="s">
        <v>157</v>
      </c>
      <c r="G12" t="s">
        <v>158</v>
      </c>
      <c r="H12" t="s">
        <v>142</v>
      </c>
      <c r="I12" t="s">
        <v>159</v>
      </c>
      <c r="J12">
        <v>0</v>
      </c>
      <c r="K12">
        <f>J12-E12</f>
        <v>-2</v>
      </c>
    </row>
    <row r="13" spans="1:12">
      <c r="A13">
        <v>12</v>
      </c>
      <c r="B13" t="s">
        <v>162</v>
      </c>
      <c r="C13" t="s">
        <v>163</v>
      </c>
      <c r="D13" s="4" t="s">
        <v>164</v>
      </c>
      <c r="E13">
        <v>1</v>
      </c>
      <c r="F13" t="s">
        <v>165</v>
      </c>
      <c r="G13" t="s">
        <v>166</v>
      </c>
      <c r="H13" t="s">
        <v>142</v>
      </c>
      <c r="I13" t="s">
        <v>167</v>
      </c>
      <c r="J13">
        <v>2</v>
      </c>
      <c r="K13">
        <f>J13-E13</f>
        <v>1</v>
      </c>
      <c r="L13">
        <v>5.0000000000000001E-3</v>
      </c>
    </row>
    <row r="14" spans="1:12">
      <c r="A14">
        <v>13</v>
      </c>
      <c r="B14" t="s">
        <v>168</v>
      </c>
      <c r="C14" t="s">
        <v>169</v>
      </c>
      <c r="D14" s="4" t="s">
        <v>170</v>
      </c>
      <c r="E14">
        <v>1</v>
      </c>
      <c r="H14" t="s">
        <v>142</v>
      </c>
      <c r="I14" t="s">
        <v>171</v>
      </c>
      <c r="J14">
        <v>0</v>
      </c>
      <c r="K14">
        <f>J14-E14</f>
        <v>-1</v>
      </c>
      <c r="L14">
        <v>4.9000000000000002E-2</v>
      </c>
    </row>
    <row r="15" spans="1:12">
      <c r="A15">
        <v>14</v>
      </c>
      <c r="B15" t="s">
        <v>172</v>
      </c>
      <c r="C15" t="s">
        <v>173</v>
      </c>
      <c r="D15" s="4" t="s">
        <v>174</v>
      </c>
      <c r="E15">
        <v>1</v>
      </c>
      <c r="F15" t="s">
        <v>175</v>
      </c>
      <c r="G15" t="s">
        <v>176</v>
      </c>
      <c r="H15" t="s">
        <v>142</v>
      </c>
      <c r="I15" t="s">
        <v>177</v>
      </c>
      <c r="J15">
        <v>0</v>
      </c>
      <c r="K15">
        <f>J15-E15</f>
        <v>-1</v>
      </c>
      <c r="L15">
        <v>1.9E-2</v>
      </c>
    </row>
    <row r="16" spans="1:12">
      <c r="A16">
        <v>15</v>
      </c>
      <c r="B16" t="s">
        <v>100</v>
      </c>
      <c r="C16" t="s">
        <v>178</v>
      </c>
      <c r="D16" t="s">
        <v>174</v>
      </c>
      <c r="E16">
        <v>1</v>
      </c>
      <c r="F16" s="6" t="s">
        <v>175</v>
      </c>
      <c r="G16" t="s">
        <v>176</v>
      </c>
      <c r="H16" t="s">
        <v>142</v>
      </c>
      <c r="I16" t="s">
        <v>177</v>
      </c>
      <c r="J16">
        <v>2</v>
      </c>
      <c r="K16">
        <f>J16-E16</f>
        <v>1</v>
      </c>
      <c r="L16">
        <v>1.9E-2</v>
      </c>
    </row>
    <row r="17" spans="1:12">
      <c r="A17">
        <v>16</v>
      </c>
      <c r="B17" t="s">
        <v>101</v>
      </c>
      <c r="C17" t="s">
        <v>179</v>
      </c>
      <c r="D17" s="4" t="s">
        <v>174</v>
      </c>
      <c r="E17">
        <v>1</v>
      </c>
      <c r="F17" s="6" t="s">
        <v>175</v>
      </c>
      <c r="G17" t="s">
        <v>176</v>
      </c>
      <c r="H17" t="s">
        <v>142</v>
      </c>
      <c r="I17" t="s">
        <v>177</v>
      </c>
      <c r="J17">
        <v>0</v>
      </c>
      <c r="K17">
        <f>J17-E17</f>
        <v>-1</v>
      </c>
      <c r="L17">
        <v>1.9E-2</v>
      </c>
    </row>
    <row r="18" spans="1:12">
      <c r="A18">
        <v>17</v>
      </c>
      <c r="B18" t="s">
        <v>102</v>
      </c>
      <c r="C18" t="s">
        <v>180</v>
      </c>
      <c r="D18" s="4" t="s">
        <v>174</v>
      </c>
      <c r="E18">
        <v>1</v>
      </c>
      <c r="F18" s="6" t="s">
        <v>175</v>
      </c>
      <c r="G18" t="s">
        <v>176</v>
      </c>
      <c r="H18" t="s">
        <v>142</v>
      </c>
      <c r="I18" t="s">
        <v>177</v>
      </c>
      <c r="J18">
        <v>2</v>
      </c>
      <c r="K18">
        <f>J18-E18</f>
        <v>1</v>
      </c>
      <c r="L18">
        <v>1.9E-2</v>
      </c>
    </row>
    <row r="19" spans="1:12">
      <c r="A19">
        <v>18</v>
      </c>
      <c r="B19" t="s">
        <v>181</v>
      </c>
      <c r="C19" t="s">
        <v>182</v>
      </c>
      <c r="D19" s="4" t="s">
        <v>174</v>
      </c>
      <c r="E19">
        <v>1</v>
      </c>
      <c r="F19" s="6" t="s">
        <v>175</v>
      </c>
      <c r="G19" t="s">
        <v>176</v>
      </c>
      <c r="H19" t="s">
        <v>142</v>
      </c>
      <c r="I19" t="s">
        <v>177</v>
      </c>
      <c r="J19">
        <v>0</v>
      </c>
      <c r="K19">
        <f>J19-E19</f>
        <v>-1</v>
      </c>
      <c r="L19">
        <v>1.9E-2</v>
      </c>
    </row>
    <row r="20" spans="1:12">
      <c r="A20">
        <v>19</v>
      </c>
      <c r="B20" t="s">
        <v>183</v>
      </c>
      <c r="C20" t="s">
        <v>184</v>
      </c>
      <c r="D20" t="s">
        <v>174</v>
      </c>
      <c r="E20">
        <v>1</v>
      </c>
      <c r="F20" s="6" t="s">
        <v>175</v>
      </c>
      <c r="G20" t="s">
        <v>176</v>
      </c>
      <c r="H20" t="s">
        <v>142</v>
      </c>
      <c r="I20" t="s">
        <v>177</v>
      </c>
      <c r="J20">
        <v>0</v>
      </c>
      <c r="K20">
        <f>J20-E20</f>
        <v>-1</v>
      </c>
      <c r="L20">
        <v>1.9E-2</v>
      </c>
    </row>
    <row r="21" spans="1:12">
      <c r="A21">
        <v>20</v>
      </c>
      <c r="B21" t="s">
        <v>105</v>
      </c>
      <c r="C21" t="s">
        <v>185</v>
      </c>
      <c r="D21" t="s">
        <v>174</v>
      </c>
      <c r="E21">
        <v>1</v>
      </c>
      <c r="F21" s="6" t="s">
        <v>175</v>
      </c>
      <c r="G21" t="s">
        <v>176</v>
      </c>
      <c r="H21" t="s">
        <v>142</v>
      </c>
      <c r="I21" t="s">
        <v>177</v>
      </c>
      <c r="J21">
        <v>0</v>
      </c>
      <c r="K21">
        <f>J21-E21</f>
        <v>-1</v>
      </c>
      <c r="L21">
        <v>1.9E-2</v>
      </c>
    </row>
    <row r="22" spans="1:12">
      <c r="A22">
        <v>21</v>
      </c>
      <c r="B22" t="s">
        <v>106</v>
      </c>
      <c r="C22" t="s">
        <v>186</v>
      </c>
      <c r="D22" t="s">
        <v>174</v>
      </c>
      <c r="E22">
        <v>1</v>
      </c>
      <c r="F22" s="6" t="s">
        <v>175</v>
      </c>
      <c r="G22" t="s">
        <v>176</v>
      </c>
      <c r="H22" t="s">
        <v>142</v>
      </c>
      <c r="I22" t="s">
        <v>177</v>
      </c>
      <c r="J22">
        <v>0</v>
      </c>
      <c r="K22">
        <f>J22-E22</f>
        <v>-1</v>
      </c>
      <c r="L22">
        <v>1.9E-2</v>
      </c>
    </row>
    <row r="23" spans="1:12">
      <c r="A23">
        <v>22</v>
      </c>
      <c r="B23" t="s">
        <v>187</v>
      </c>
      <c r="C23" t="s">
        <v>188</v>
      </c>
      <c r="D23" t="s">
        <v>189</v>
      </c>
      <c r="E23">
        <v>1</v>
      </c>
      <c r="F23" s="2" t="s">
        <v>175</v>
      </c>
      <c r="G23" t="s">
        <v>176</v>
      </c>
      <c r="H23" t="s">
        <v>142</v>
      </c>
      <c r="I23" t="s">
        <v>177</v>
      </c>
      <c r="J23">
        <v>0</v>
      </c>
      <c r="K23">
        <f>J23-E23</f>
        <v>-1</v>
      </c>
      <c r="L23">
        <v>1.9E-2</v>
      </c>
    </row>
    <row r="24" spans="1:12">
      <c r="A24">
        <v>23</v>
      </c>
      <c r="B24" s="3">
        <v>750</v>
      </c>
      <c r="C24" t="s">
        <v>190</v>
      </c>
      <c r="D24" t="s">
        <v>191</v>
      </c>
      <c r="E24">
        <v>1</v>
      </c>
      <c r="F24" s="6"/>
      <c r="J24">
        <v>2</v>
      </c>
      <c r="K24">
        <f>J24-E24</f>
        <v>1</v>
      </c>
    </row>
    <row r="25" spans="1:12">
      <c r="A25">
        <v>24</v>
      </c>
      <c r="B25" t="s">
        <v>192</v>
      </c>
      <c r="C25" t="s">
        <v>193</v>
      </c>
      <c r="D25" t="s">
        <v>191</v>
      </c>
      <c r="E25">
        <v>2</v>
      </c>
      <c r="F25" s="6"/>
      <c r="J25">
        <v>2</v>
      </c>
      <c r="K25">
        <f>J25-E25</f>
        <v>0</v>
      </c>
    </row>
    <row r="26" spans="1:12">
      <c r="A26">
        <v>25</v>
      </c>
      <c r="B26" s="3">
        <v>70</v>
      </c>
      <c r="C26" t="s">
        <v>194</v>
      </c>
      <c r="D26" t="s">
        <v>191</v>
      </c>
      <c r="E26">
        <v>1</v>
      </c>
      <c r="F26" s="8"/>
      <c r="J26">
        <v>0</v>
      </c>
      <c r="K26">
        <f>J26-E26</f>
        <v>-1</v>
      </c>
    </row>
    <row r="27" spans="1:12">
      <c r="A27">
        <v>26</v>
      </c>
      <c r="B27" t="s">
        <v>113</v>
      </c>
      <c r="C27" t="s">
        <v>195</v>
      </c>
      <c r="D27" t="s">
        <v>196</v>
      </c>
      <c r="E27">
        <v>1</v>
      </c>
      <c r="F27" s="6" t="s">
        <v>113</v>
      </c>
      <c r="G27" t="s">
        <v>197</v>
      </c>
      <c r="H27" t="s">
        <v>142</v>
      </c>
      <c r="I27" t="s">
        <v>198</v>
      </c>
      <c r="J27">
        <v>3</v>
      </c>
      <c r="K27">
        <f>J27-E27</f>
        <v>2</v>
      </c>
      <c r="L27">
        <v>2.4550000000000001</v>
      </c>
    </row>
    <row r="28" spans="1:12">
      <c r="A28">
        <v>27</v>
      </c>
      <c r="B28" t="s">
        <v>199</v>
      </c>
      <c r="C28" t="s">
        <v>200</v>
      </c>
      <c r="D28" t="s">
        <v>201</v>
      </c>
      <c r="E28">
        <v>1</v>
      </c>
      <c r="F28" t="s">
        <v>199</v>
      </c>
      <c r="G28" t="s">
        <v>141</v>
      </c>
      <c r="H28" t="s">
        <v>142</v>
      </c>
      <c r="I28" t="s">
        <v>202</v>
      </c>
      <c r="J28">
        <v>0</v>
      </c>
      <c r="K28">
        <f>J28-E28</f>
        <v>-1</v>
      </c>
      <c r="L28">
        <v>1.605</v>
      </c>
    </row>
    <row r="29" spans="1:12" ht="14.5" customHeight="1">
      <c r="A29">
        <v>28</v>
      </c>
      <c r="B29" t="s">
        <v>203</v>
      </c>
      <c r="C29" t="s">
        <v>31</v>
      </c>
      <c r="D29" t="s">
        <v>204</v>
      </c>
      <c r="E29">
        <v>1</v>
      </c>
      <c r="F29" t="s">
        <v>203</v>
      </c>
      <c r="G29" t="s">
        <v>141</v>
      </c>
      <c r="H29" t="s">
        <v>142</v>
      </c>
      <c r="I29" t="s">
        <v>205</v>
      </c>
      <c r="J29">
        <v>0</v>
      </c>
      <c r="K29">
        <f>J29-E29</f>
        <v>-1</v>
      </c>
      <c r="L29">
        <v>2.3879999999999999</v>
      </c>
    </row>
    <row r="30" spans="1:12">
      <c r="J30" s="14"/>
      <c r="K30"/>
    </row>
    <row r="31" spans="1:12">
      <c r="J31" s="14"/>
      <c r="K31"/>
    </row>
    <row r="32" spans="1:12">
      <c r="J32" s="14"/>
      <c r="K32"/>
    </row>
    <row r="33" spans="10:11">
      <c r="J33" s="15"/>
      <c r="K33"/>
    </row>
    <row r="34" spans="10:11">
      <c r="J34" s="15"/>
      <c r="K34"/>
    </row>
    <row r="35" spans="10:11">
      <c r="J35" s="15"/>
      <c r="K35"/>
    </row>
    <row r="36" spans="10:11">
      <c r="J36" s="14"/>
      <c r="K36"/>
    </row>
    <row r="37" spans="10:11">
      <c r="J37" s="14"/>
      <c r="K37"/>
    </row>
    <row r="38" spans="10:11">
      <c r="J38" s="15"/>
      <c r="K38"/>
    </row>
    <row r="39" spans="10:11">
      <c r="J39" s="14"/>
      <c r="K39"/>
    </row>
    <row r="40" spans="10:11">
      <c r="J40" s="14"/>
      <c r="K40"/>
    </row>
    <row r="41" spans="10:11">
      <c r="J41" s="15"/>
      <c r="K41"/>
    </row>
    <row r="42" spans="10:11">
      <c r="J42" s="14"/>
      <c r="K42"/>
    </row>
    <row r="76" spans="1:16">
      <c r="A76" s="9" t="s">
        <v>67</v>
      </c>
    </row>
    <row r="78" spans="1:16">
      <c r="A78">
        <v>0</v>
      </c>
      <c r="B78" t="s">
        <v>11</v>
      </c>
      <c r="C78" t="s">
        <v>12</v>
      </c>
      <c r="D78" t="s">
        <v>13</v>
      </c>
      <c r="I78">
        <v>1</v>
      </c>
      <c r="J78" t="s">
        <v>15</v>
      </c>
      <c r="L78" t="s">
        <v>14</v>
      </c>
      <c r="P78" t="s">
        <v>16</v>
      </c>
    </row>
    <row r="79" spans="1:16">
      <c r="A79">
        <v>1</v>
      </c>
      <c r="B79" t="s">
        <v>17</v>
      </c>
      <c r="C79" t="s">
        <v>18</v>
      </c>
      <c r="D79" t="s">
        <v>19</v>
      </c>
      <c r="I79">
        <v>1</v>
      </c>
      <c r="J79" t="s">
        <v>15</v>
      </c>
      <c r="K79" s="3" t="s">
        <v>21</v>
      </c>
      <c r="L79" t="s">
        <v>14</v>
      </c>
      <c r="M79" t="s">
        <v>22</v>
      </c>
      <c r="N79" t="s">
        <v>22</v>
      </c>
      <c r="O79" t="s">
        <v>23</v>
      </c>
    </row>
    <row r="80" spans="1:16">
      <c r="A80">
        <v>2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29</v>
      </c>
      <c r="H80" t="s">
        <v>30</v>
      </c>
      <c r="I80">
        <v>1</v>
      </c>
      <c r="J80" t="s">
        <v>32</v>
      </c>
      <c r="L80" t="s">
        <v>14</v>
      </c>
      <c r="M80" t="s">
        <v>33</v>
      </c>
      <c r="N80" t="s">
        <v>33</v>
      </c>
      <c r="O80" t="s">
        <v>34</v>
      </c>
      <c r="P80" t="s">
        <v>35</v>
      </c>
    </row>
    <row r="81" spans="1:16">
      <c r="A81">
        <v>2</v>
      </c>
      <c r="B81" t="s">
        <v>24</v>
      </c>
      <c r="C81" t="s">
        <v>36</v>
      </c>
      <c r="D81" t="s">
        <v>37</v>
      </c>
      <c r="E81" t="s">
        <v>38</v>
      </c>
      <c r="F81" t="s">
        <v>39</v>
      </c>
      <c r="G81" t="s">
        <v>40</v>
      </c>
      <c r="H81" t="s">
        <v>41</v>
      </c>
      <c r="I81">
        <v>10</v>
      </c>
      <c r="J81" t="s">
        <v>32</v>
      </c>
      <c r="L81" t="s">
        <v>14</v>
      </c>
      <c r="M81" t="s">
        <v>42</v>
      </c>
      <c r="N81" t="s">
        <v>43</v>
      </c>
      <c r="O81" t="s">
        <v>44</v>
      </c>
      <c r="P81" t="s">
        <v>45</v>
      </c>
    </row>
    <row r="82" spans="1:16">
      <c r="A82">
        <v>1</v>
      </c>
      <c r="B82" t="s">
        <v>46</v>
      </c>
      <c r="C82" t="s">
        <v>47</v>
      </c>
      <c r="D82" t="s">
        <v>48</v>
      </c>
      <c r="E82" t="s">
        <v>49</v>
      </c>
      <c r="F82" t="s">
        <v>50</v>
      </c>
      <c r="G82" t="s">
        <v>51</v>
      </c>
      <c r="I82">
        <v>1</v>
      </c>
      <c r="J82" t="s">
        <v>15</v>
      </c>
      <c r="K82" s="3" t="s">
        <v>52</v>
      </c>
      <c r="L82" t="s">
        <v>14</v>
      </c>
      <c r="M82" t="s">
        <v>53</v>
      </c>
      <c r="N82" t="s">
        <v>53</v>
      </c>
      <c r="O82" t="s">
        <v>54</v>
      </c>
      <c r="P82" t="s">
        <v>55</v>
      </c>
    </row>
    <row r="83" spans="1:16">
      <c r="A83">
        <v>1</v>
      </c>
      <c r="B83" t="s">
        <v>56</v>
      </c>
      <c r="C83" t="s">
        <v>57</v>
      </c>
      <c r="D83" t="s">
        <v>58</v>
      </c>
      <c r="E83" t="s">
        <v>59</v>
      </c>
      <c r="F83" t="s">
        <v>60</v>
      </c>
      <c r="G83" t="s">
        <v>61</v>
      </c>
      <c r="H83" t="s">
        <v>62</v>
      </c>
      <c r="I83">
        <v>4</v>
      </c>
      <c r="J83" t="s">
        <v>15</v>
      </c>
      <c r="K83" s="3" t="s">
        <v>63</v>
      </c>
      <c r="L83" t="s">
        <v>14</v>
      </c>
      <c r="M83" t="s">
        <v>64</v>
      </c>
      <c r="N83" t="s">
        <v>65</v>
      </c>
      <c r="O83" t="s">
        <v>66</v>
      </c>
    </row>
  </sheetData>
  <conditionalFormatting sqref="K30:K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3BCE-6256-4137-8E8E-F41305A35965}">
  <dimension ref="A1:J35"/>
  <sheetViews>
    <sheetView zoomScale="53" workbookViewId="0">
      <selection activeCell="E37" sqref="E37"/>
    </sheetView>
  </sheetViews>
  <sheetFormatPr defaultRowHeight="14.5"/>
  <cols>
    <col min="1" max="1" width="6.453125" customWidth="1"/>
    <col min="2" max="2" width="10.36328125" customWidth="1"/>
    <col min="3" max="3" width="36.36328125" customWidth="1"/>
    <col min="4" max="4" width="31.1796875" customWidth="1"/>
    <col min="5" max="5" width="41.6328125" customWidth="1"/>
    <col min="6" max="6" width="23.36328125" customWidth="1"/>
    <col min="7" max="8" width="11.7265625" customWidth="1"/>
    <col min="9" max="9" width="13" customWidth="1"/>
    <col min="10" max="10" width="23.36328125" customWidth="1"/>
  </cols>
  <sheetData>
    <row r="1" spans="1:10">
      <c r="A1" s="16" t="s">
        <v>389</v>
      </c>
      <c r="B1" s="16" t="s">
        <v>133</v>
      </c>
      <c r="C1" s="16" t="s">
        <v>0</v>
      </c>
      <c r="D1" s="16" t="s">
        <v>390</v>
      </c>
      <c r="E1" s="16" t="s">
        <v>391</v>
      </c>
      <c r="F1" s="16" t="s">
        <v>392</v>
      </c>
      <c r="G1" s="16" t="s">
        <v>338</v>
      </c>
      <c r="H1" s="16" t="s">
        <v>393</v>
      </c>
      <c r="I1" s="16" t="s">
        <v>394</v>
      </c>
      <c r="J1" s="16" t="s">
        <v>395</v>
      </c>
    </row>
    <row r="2" spans="1:10">
      <c r="A2" s="17">
        <v>1</v>
      </c>
      <c r="B2" s="17">
        <v>20</v>
      </c>
      <c r="C2" t="s">
        <v>396</v>
      </c>
      <c r="D2" t="s">
        <v>397</v>
      </c>
      <c r="E2" t="s">
        <v>398</v>
      </c>
      <c r="G2" s="17">
        <v>20</v>
      </c>
      <c r="H2" s="17">
        <v>0</v>
      </c>
      <c r="I2">
        <v>4.2000000000000003E-2</v>
      </c>
      <c r="J2" s="18">
        <v>0.84</v>
      </c>
    </row>
    <row r="3" spans="1:10">
      <c r="A3" s="17">
        <v>2</v>
      </c>
      <c r="B3" s="17">
        <v>20</v>
      </c>
      <c r="C3" t="s">
        <v>399</v>
      </c>
      <c r="D3" t="s">
        <v>400</v>
      </c>
      <c r="E3" t="s">
        <v>401</v>
      </c>
      <c r="G3" s="17">
        <v>20</v>
      </c>
      <c r="H3" s="17">
        <v>0</v>
      </c>
      <c r="I3">
        <v>4.1000000000000002E-2</v>
      </c>
      <c r="J3" s="18">
        <v>0.82</v>
      </c>
    </row>
    <row r="4" spans="1:10">
      <c r="A4" s="17">
        <v>3</v>
      </c>
      <c r="B4" s="17">
        <v>4</v>
      </c>
      <c r="C4" t="s">
        <v>402</v>
      </c>
      <c r="D4" t="s">
        <v>403</v>
      </c>
      <c r="E4" t="s">
        <v>404</v>
      </c>
      <c r="G4" s="17">
        <v>4</v>
      </c>
      <c r="H4" s="17">
        <v>0</v>
      </c>
      <c r="I4">
        <v>0.1</v>
      </c>
      <c r="J4" s="18">
        <v>0.4</v>
      </c>
    </row>
    <row r="5" spans="1:10">
      <c r="A5" s="17">
        <v>4</v>
      </c>
      <c r="B5" s="17">
        <v>2</v>
      </c>
      <c r="C5" t="s">
        <v>405</v>
      </c>
      <c r="D5" t="s">
        <v>406</v>
      </c>
      <c r="E5" t="s">
        <v>407</v>
      </c>
      <c r="G5" s="17">
        <v>2</v>
      </c>
      <c r="H5" s="17">
        <v>0</v>
      </c>
      <c r="I5">
        <v>0.14000000000000001</v>
      </c>
      <c r="J5" s="18">
        <v>0.28000000000000003</v>
      </c>
    </row>
    <row r="6" spans="1:10">
      <c r="A6" s="17">
        <v>5</v>
      </c>
      <c r="B6" s="17">
        <v>6</v>
      </c>
      <c r="C6" t="s">
        <v>408</v>
      </c>
      <c r="D6" t="s">
        <v>409</v>
      </c>
      <c r="E6" t="s">
        <v>410</v>
      </c>
      <c r="G6" s="17">
        <v>6</v>
      </c>
      <c r="H6" s="17">
        <v>0</v>
      </c>
      <c r="I6">
        <v>0.13</v>
      </c>
      <c r="J6" s="18">
        <v>0.78</v>
      </c>
    </row>
    <row r="7" spans="1:10">
      <c r="A7" s="17">
        <v>6</v>
      </c>
      <c r="B7" s="17">
        <v>2</v>
      </c>
      <c r="C7" t="s">
        <v>411</v>
      </c>
      <c r="D7" t="s">
        <v>412</v>
      </c>
      <c r="E7" t="s">
        <v>413</v>
      </c>
      <c r="G7" s="17">
        <v>2</v>
      </c>
      <c r="H7" s="17">
        <v>0</v>
      </c>
      <c r="I7">
        <v>0.22</v>
      </c>
      <c r="J7" s="18">
        <v>0.44</v>
      </c>
    </row>
    <row r="8" spans="1:10">
      <c r="A8" s="17">
        <v>7</v>
      </c>
      <c r="B8" s="17">
        <v>2</v>
      </c>
      <c r="C8" t="s">
        <v>414</v>
      </c>
      <c r="D8" t="s">
        <v>415</v>
      </c>
      <c r="E8" t="s">
        <v>416</v>
      </c>
      <c r="G8" s="17">
        <v>2</v>
      </c>
      <c r="H8" s="17">
        <v>0</v>
      </c>
      <c r="I8">
        <v>0.33</v>
      </c>
      <c r="J8" s="18">
        <v>0.66</v>
      </c>
    </row>
    <row r="9" spans="1:10">
      <c r="A9" s="17">
        <v>8</v>
      </c>
      <c r="B9" s="17">
        <v>2</v>
      </c>
      <c r="C9" t="s">
        <v>417</v>
      </c>
      <c r="D9" t="s">
        <v>316</v>
      </c>
      <c r="E9" t="s">
        <v>418</v>
      </c>
      <c r="G9" s="17">
        <v>2</v>
      </c>
      <c r="H9" s="17">
        <v>0</v>
      </c>
      <c r="I9">
        <v>0.39</v>
      </c>
      <c r="J9" s="18">
        <v>0.78</v>
      </c>
    </row>
    <row r="10" spans="1:10">
      <c r="A10" s="17">
        <v>9</v>
      </c>
      <c r="B10" s="17">
        <v>2</v>
      </c>
      <c r="C10" t="s">
        <v>419</v>
      </c>
      <c r="D10" t="s">
        <v>420</v>
      </c>
      <c r="E10" t="s">
        <v>421</v>
      </c>
      <c r="G10" s="17">
        <v>2</v>
      </c>
      <c r="H10" s="17">
        <v>0</v>
      </c>
      <c r="I10">
        <v>0.66</v>
      </c>
      <c r="J10" s="18">
        <v>1.32</v>
      </c>
    </row>
    <row r="11" spans="1:10">
      <c r="A11" s="17">
        <v>10</v>
      </c>
      <c r="B11" s="17">
        <v>2</v>
      </c>
      <c r="C11" t="s">
        <v>422</v>
      </c>
      <c r="D11" t="s">
        <v>423</v>
      </c>
      <c r="E11" t="s">
        <v>424</v>
      </c>
      <c r="G11" s="17">
        <v>2</v>
      </c>
      <c r="H11" s="17">
        <v>0</v>
      </c>
      <c r="I11">
        <v>0.47</v>
      </c>
      <c r="J11" s="18">
        <v>0.94</v>
      </c>
    </row>
    <row r="12" spans="1:10">
      <c r="A12" s="17">
        <v>11</v>
      </c>
      <c r="B12" s="17">
        <v>1</v>
      </c>
      <c r="C12" t="s">
        <v>425</v>
      </c>
      <c r="D12" t="s">
        <v>426</v>
      </c>
      <c r="E12" t="s">
        <v>427</v>
      </c>
      <c r="G12" s="17">
        <v>1</v>
      </c>
      <c r="H12" s="17">
        <v>0</v>
      </c>
      <c r="I12">
        <v>18.02</v>
      </c>
      <c r="J12" s="18">
        <v>18.02</v>
      </c>
    </row>
    <row r="13" spans="1:10">
      <c r="A13" s="17">
        <v>12</v>
      </c>
      <c r="B13" s="17">
        <v>1</v>
      </c>
      <c r="C13" t="s">
        <v>428</v>
      </c>
      <c r="D13" t="s">
        <v>429</v>
      </c>
      <c r="E13" t="s">
        <v>430</v>
      </c>
      <c r="G13" s="17">
        <v>1</v>
      </c>
      <c r="H13" s="17">
        <v>0</v>
      </c>
      <c r="I13">
        <v>7.09</v>
      </c>
      <c r="J13" s="18">
        <v>7.09</v>
      </c>
    </row>
    <row r="14" spans="1:10">
      <c r="A14" s="17">
        <v>13</v>
      </c>
      <c r="B14" s="17">
        <v>1</v>
      </c>
      <c r="C14" t="s">
        <v>431</v>
      </c>
      <c r="D14" t="s">
        <v>432</v>
      </c>
      <c r="E14" t="s">
        <v>433</v>
      </c>
      <c r="G14" s="17">
        <v>1</v>
      </c>
      <c r="H14" s="17">
        <v>0</v>
      </c>
      <c r="I14">
        <v>11.91</v>
      </c>
      <c r="J14" s="18">
        <v>11.91</v>
      </c>
    </row>
    <row r="15" spans="1:10">
      <c r="A15" s="17">
        <v>14</v>
      </c>
      <c r="B15" s="17">
        <v>1</v>
      </c>
      <c r="C15" t="s">
        <v>434</v>
      </c>
      <c r="D15" t="s">
        <v>435</v>
      </c>
      <c r="E15" t="s">
        <v>436</v>
      </c>
      <c r="G15" s="17">
        <v>1</v>
      </c>
      <c r="H15" s="17">
        <v>0</v>
      </c>
      <c r="I15">
        <v>7.09</v>
      </c>
      <c r="J15" s="18">
        <v>7.09</v>
      </c>
    </row>
    <row r="16" spans="1:10">
      <c r="A16" s="17">
        <v>15</v>
      </c>
      <c r="B16" s="17">
        <v>1</v>
      </c>
      <c r="C16" t="s">
        <v>437</v>
      </c>
      <c r="D16" t="s">
        <v>438</v>
      </c>
      <c r="E16" t="s">
        <v>439</v>
      </c>
      <c r="G16" s="17">
        <v>1</v>
      </c>
      <c r="H16" s="17">
        <v>0</v>
      </c>
      <c r="I16">
        <v>20.36</v>
      </c>
      <c r="J16" s="18">
        <v>20.36</v>
      </c>
    </row>
    <row r="17" spans="1:10">
      <c r="A17" s="17">
        <v>16</v>
      </c>
      <c r="B17" s="17">
        <v>1</v>
      </c>
      <c r="C17" t="s">
        <v>440</v>
      </c>
      <c r="D17" t="s">
        <v>441</v>
      </c>
      <c r="E17" t="s">
        <v>442</v>
      </c>
      <c r="G17" s="17">
        <v>1</v>
      </c>
      <c r="H17" s="17">
        <v>0</v>
      </c>
      <c r="I17">
        <v>11.91</v>
      </c>
      <c r="J17" s="18">
        <v>11.91</v>
      </c>
    </row>
    <row r="18" spans="1:10">
      <c r="A18" s="17">
        <v>17</v>
      </c>
      <c r="B18" s="17">
        <v>2</v>
      </c>
      <c r="C18" t="s">
        <v>443</v>
      </c>
      <c r="D18" t="s">
        <v>330</v>
      </c>
      <c r="E18" t="s">
        <v>444</v>
      </c>
      <c r="G18" s="17">
        <v>2</v>
      </c>
      <c r="H18" s="17">
        <v>0</v>
      </c>
      <c r="I18">
        <v>0.46</v>
      </c>
      <c r="J18" s="18">
        <v>0.92</v>
      </c>
    </row>
    <row r="19" spans="1:10">
      <c r="A19" s="17">
        <v>18</v>
      </c>
      <c r="B19" s="17">
        <v>20</v>
      </c>
      <c r="C19" t="s">
        <v>445</v>
      </c>
      <c r="D19" t="s">
        <v>446</v>
      </c>
      <c r="E19" t="s">
        <v>447</v>
      </c>
      <c r="G19" s="17">
        <v>20</v>
      </c>
      <c r="H19" s="17">
        <v>0</v>
      </c>
      <c r="I19">
        <v>1.9E-2</v>
      </c>
      <c r="J19" s="18">
        <v>0.38</v>
      </c>
    </row>
    <row r="20" spans="1:10">
      <c r="A20" s="17">
        <v>19</v>
      </c>
      <c r="B20" s="17">
        <v>20</v>
      </c>
      <c r="C20" t="s">
        <v>448</v>
      </c>
      <c r="D20" t="s">
        <v>449</v>
      </c>
      <c r="E20" t="s">
        <v>450</v>
      </c>
      <c r="G20" s="17">
        <v>20</v>
      </c>
      <c r="H20" s="17">
        <v>0</v>
      </c>
      <c r="I20">
        <v>0.03</v>
      </c>
      <c r="J20" s="18">
        <v>0.6</v>
      </c>
    </row>
    <row r="21" spans="1:10">
      <c r="A21" s="17">
        <v>20</v>
      </c>
      <c r="B21" s="17">
        <v>2</v>
      </c>
      <c r="C21" t="s">
        <v>451</v>
      </c>
      <c r="D21" t="s">
        <v>452</v>
      </c>
      <c r="E21" t="s">
        <v>453</v>
      </c>
      <c r="G21" s="17">
        <v>2</v>
      </c>
      <c r="H21" s="17">
        <v>0</v>
      </c>
      <c r="I21">
        <v>0.11</v>
      </c>
      <c r="J21" s="18">
        <v>0.22</v>
      </c>
    </row>
    <row r="22" spans="1:10">
      <c r="A22" s="17">
        <v>21</v>
      </c>
      <c r="B22" s="17">
        <v>20</v>
      </c>
      <c r="C22" t="s">
        <v>454</v>
      </c>
      <c r="D22" t="s">
        <v>455</v>
      </c>
      <c r="E22" t="s">
        <v>456</v>
      </c>
      <c r="G22" s="17">
        <v>20</v>
      </c>
      <c r="H22" s="17">
        <v>0</v>
      </c>
      <c r="I22">
        <v>1.4999999999999999E-2</v>
      </c>
      <c r="J22" s="18">
        <v>0.3</v>
      </c>
    </row>
    <row r="23" spans="1:10">
      <c r="A23" s="17">
        <v>22</v>
      </c>
      <c r="B23" s="17">
        <v>20</v>
      </c>
      <c r="C23" t="s">
        <v>457</v>
      </c>
      <c r="D23" t="s">
        <v>458</v>
      </c>
      <c r="E23" t="s">
        <v>459</v>
      </c>
      <c r="G23" s="17">
        <v>20</v>
      </c>
      <c r="H23" s="17">
        <v>0</v>
      </c>
      <c r="I23">
        <v>1.9E-2</v>
      </c>
      <c r="J23" s="18">
        <v>0.38</v>
      </c>
    </row>
    <row r="24" spans="1:10">
      <c r="A24" s="17">
        <v>23</v>
      </c>
      <c r="B24" s="17">
        <v>20</v>
      </c>
      <c r="C24" t="s">
        <v>460</v>
      </c>
      <c r="D24" t="s">
        <v>461</v>
      </c>
      <c r="E24" t="s">
        <v>462</v>
      </c>
      <c r="G24" s="17">
        <v>20</v>
      </c>
      <c r="H24" s="17">
        <v>0</v>
      </c>
      <c r="I24">
        <v>5.6000000000000001E-2</v>
      </c>
      <c r="J24" s="18">
        <v>1.1200000000000001</v>
      </c>
    </row>
    <row r="25" spans="1:10">
      <c r="A25" s="17">
        <v>24</v>
      </c>
      <c r="B25" s="17">
        <v>2</v>
      </c>
      <c r="C25" t="s">
        <v>115</v>
      </c>
      <c r="D25" t="s">
        <v>113</v>
      </c>
      <c r="E25" t="s">
        <v>463</v>
      </c>
      <c r="G25" s="17">
        <v>2</v>
      </c>
      <c r="H25" s="17">
        <v>0</v>
      </c>
      <c r="I25">
        <v>1.73</v>
      </c>
      <c r="J25" s="18">
        <v>3.46</v>
      </c>
    </row>
    <row r="26" spans="1:10">
      <c r="A26" s="17">
        <v>25</v>
      </c>
      <c r="B26" s="17">
        <v>1</v>
      </c>
      <c r="C26" t="s">
        <v>464</v>
      </c>
      <c r="D26" t="s">
        <v>465</v>
      </c>
      <c r="E26" t="s">
        <v>466</v>
      </c>
      <c r="G26" s="17">
        <v>1</v>
      </c>
      <c r="H26" s="17">
        <v>0</v>
      </c>
      <c r="I26">
        <v>32.119999999999997</v>
      </c>
      <c r="J26" s="18">
        <v>32.119999999999997</v>
      </c>
    </row>
    <row r="27" spans="1:10">
      <c r="A27" s="17">
        <v>26</v>
      </c>
      <c r="B27" s="17">
        <v>2</v>
      </c>
      <c r="C27" t="s">
        <v>467</v>
      </c>
      <c r="D27" t="s">
        <v>122</v>
      </c>
      <c r="E27" t="s">
        <v>468</v>
      </c>
      <c r="G27" s="17">
        <v>2</v>
      </c>
      <c r="H27" s="17">
        <v>0</v>
      </c>
      <c r="I27">
        <v>1.87</v>
      </c>
      <c r="J27" s="18">
        <v>3.74</v>
      </c>
    </row>
    <row r="28" spans="1:10">
      <c r="A28" s="17">
        <v>27</v>
      </c>
      <c r="B28" s="17">
        <v>1</v>
      </c>
      <c r="C28" t="s">
        <v>469</v>
      </c>
      <c r="D28" t="s">
        <v>322</v>
      </c>
      <c r="E28" t="s">
        <v>470</v>
      </c>
      <c r="G28" s="17">
        <v>1</v>
      </c>
      <c r="H28" s="17">
        <v>0</v>
      </c>
      <c r="I28">
        <v>9.36</v>
      </c>
      <c r="J28" s="18">
        <v>9.36</v>
      </c>
    </row>
    <row r="29" spans="1:10">
      <c r="A29" s="17">
        <v>28</v>
      </c>
      <c r="B29" s="17">
        <v>1</v>
      </c>
      <c r="C29" t="s">
        <v>471</v>
      </c>
      <c r="D29" t="s">
        <v>472</v>
      </c>
      <c r="E29" t="s">
        <v>473</v>
      </c>
      <c r="G29" s="17">
        <v>1</v>
      </c>
      <c r="H29" s="17">
        <v>0</v>
      </c>
      <c r="I29">
        <v>29.03</v>
      </c>
      <c r="J29" s="18">
        <v>29.03</v>
      </c>
    </row>
    <row r="30" spans="1:10">
      <c r="A30" s="17">
        <v>29</v>
      </c>
      <c r="B30" s="17">
        <v>2</v>
      </c>
      <c r="C30" t="s">
        <v>474</v>
      </c>
      <c r="D30" t="s">
        <v>475</v>
      </c>
      <c r="E30" t="s">
        <v>476</v>
      </c>
      <c r="G30" s="17">
        <v>2</v>
      </c>
      <c r="H30" s="17">
        <v>0</v>
      </c>
      <c r="I30">
        <v>0.38</v>
      </c>
      <c r="J30" s="18">
        <v>0.76</v>
      </c>
    </row>
    <row r="31" spans="1:10">
      <c r="A31" s="17">
        <v>30</v>
      </c>
      <c r="B31" s="17">
        <v>2</v>
      </c>
      <c r="C31" t="s">
        <v>477</v>
      </c>
      <c r="D31" t="s">
        <v>341</v>
      </c>
      <c r="E31" t="s">
        <v>478</v>
      </c>
      <c r="G31" s="17">
        <v>2</v>
      </c>
      <c r="H31" s="17">
        <v>0</v>
      </c>
      <c r="I31">
        <v>1.1599999999999999</v>
      </c>
      <c r="J31" s="18">
        <v>2.3199999999999998</v>
      </c>
    </row>
    <row r="32" spans="1:10">
      <c r="A32" s="17">
        <v>31</v>
      </c>
      <c r="B32" s="17">
        <v>2</v>
      </c>
      <c r="C32" t="s">
        <v>479</v>
      </c>
      <c r="D32" t="s">
        <v>480</v>
      </c>
      <c r="E32" t="s">
        <v>481</v>
      </c>
      <c r="G32" s="17">
        <v>2</v>
      </c>
      <c r="H32" s="17">
        <v>0</v>
      </c>
      <c r="I32">
        <v>0.37</v>
      </c>
      <c r="J32" s="18">
        <v>0.74</v>
      </c>
    </row>
    <row r="33" spans="1:10">
      <c r="A33" s="17">
        <v>32</v>
      </c>
      <c r="B33" s="17">
        <v>10</v>
      </c>
      <c r="C33" t="s">
        <v>482</v>
      </c>
      <c r="D33" t="s">
        <v>483</v>
      </c>
      <c r="E33" t="s">
        <v>484</v>
      </c>
      <c r="G33" s="17">
        <v>10</v>
      </c>
      <c r="H33" s="17">
        <v>0</v>
      </c>
      <c r="I33">
        <v>2.5999999999999999E-2</v>
      </c>
      <c r="J33" s="18">
        <v>0.26</v>
      </c>
    </row>
    <row r="34" spans="1:10">
      <c r="A34" s="17">
        <v>33</v>
      </c>
      <c r="B34" s="17">
        <v>4</v>
      </c>
      <c r="C34" t="s">
        <v>485</v>
      </c>
      <c r="D34" t="s">
        <v>486</v>
      </c>
      <c r="E34" t="s">
        <v>487</v>
      </c>
      <c r="G34" s="17">
        <v>4</v>
      </c>
      <c r="H34" s="17">
        <v>0</v>
      </c>
      <c r="I34">
        <v>2.74</v>
      </c>
      <c r="J34" s="18">
        <v>10.96</v>
      </c>
    </row>
    <row r="35" spans="1:10">
      <c r="A35" s="17">
        <v>34</v>
      </c>
      <c r="B35" s="17">
        <v>4</v>
      </c>
      <c r="C35" t="s">
        <v>488</v>
      </c>
      <c r="D35" t="s">
        <v>239</v>
      </c>
      <c r="E35" t="s">
        <v>489</v>
      </c>
      <c r="G35" s="17">
        <v>4</v>
      </c>
      <c r="H35" s="17">
        <v>0</v>
      </c>
      <c r="I35">
        <v>0.6</v>
      </c>
      <c r="J35" s="18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 Handheld</vt:lpstr>
      <vt:lpstr>BOM Developement board</vt:lpstr>
      <vt:lpstr>BOM Jewiss</vt:lpstr>
      <vt:lpstr>BOM loki 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Werner  Josefine</cp:lastModifiedBy>
  <dcterms:created xsi:type="dcterms:W3CDTF">2025-10-23T13:24:43Z</dcterms:created>
  <dcterms:modified xsi:type="dcterms:W3CDTF">2026-01-18T14:39:32Z</dcterms:modified>
</cp:coreProperties>
</file>